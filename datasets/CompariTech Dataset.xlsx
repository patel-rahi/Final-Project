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<sst xmlns="http://schemas.openxmlformats.org/spreadsheetml/2006/main" count="65" uniqueCount="22">
  <si>
    <t>Constitutional Protection</t>
  </si>
  <si>
    <t>Statutory Protection</t>
  </si>
  <si>
    <t>Privacy Enforcement</t>
  </si>
  <si>
    <t>Identity Cards and Biometrics</t>
  </si>
  <si>
    <t>Data-sharing</t>
  </si>
  <si>
    <t>Visual Surveillance</t>
  </si>
  <si>
    <t>Communication Interception</t>
  </si>
  <si>
    <t>Workplace Monitoring</t>
  </si>
  <si>
    <t>Government Access to Data</t>
  </si>
  <si>
    <t>Communication Data Retention</t>
  </si>
  <si>
    <t>Surveillance of Medical, Financial and Movement</t>
  </si>
  <si>
    <t>Border and Trans-Border Issues</t>
  </si>
  <si>
    <t>Leadership</t>
  </si>
  <si>
    <t>Democratic Safeguards</t>
  </si>
  <si>
    <t xml:space="preserve">Total </t>
  </si>
  <si>
    <t>Score Card</t>
  </si>
  <si>
    <t>European Union</t>
  </si>
  <si>
    <t>Adequate Safeguards</t>
  </si>
  <si>
    <t>Some Safeguards/Weakened Protection</t>
  </si>
  <si>
    <t>International</t>
  </si>
  <si>
    <t>Systemic Failure to Maintain Safeguards</t>
  </si>
  <si>
    <t xml:space="preserve">Extensive Surveillance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</si>
</sst>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</font>
    <font/>
    <font>
      <b/>
    </font>
    <font>
      <u/>
      <color rgb="FF0000FF"/>
    </font>
    <font>
      <color rgb="FF000000"/>
    </font>
    <font>
      <u/>
      <color rgb="FF0000FF"/>
    </font>
    <font>
      <i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wrapText="1"/>
    </xf>
    <xf borderId="0" fillId="2" fontId="1" numFmtId="164" xfId="0" applyAlignment="1" applyFill="1" applyFont="1" applyNumberFormat="1">
      <alignment shrinkToFit="0" wrapText="1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shrinkToFit="0" wrapText="1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min="17" max="17" width="30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3" t="s">
        <v>15</v>
      </c>
    </row>
    <row r="2">
      <c r="A2" s="4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>
      <c r="A3" s="7" t="str">
        <f>HYPERLINK("https://docs.google.com/document/d/1S_szoYaf0vFzawlgp5TrxDcP33fwKgClFTcErwvYHik/edit?usp=sharing","Ireland ")</f>
        <v>Ireland </v>
      </c>
      <c r="B3" s="1">
        <v>3.3</v>
      </c>
      <c r="C3" s="1">
        <v>3.2</v>
      </c>
      <c r="D3" s="1">
        <v>3.1</v>
      </c>
      <c r="E3" s="1">
        <v>3.3</v>
      </c>
      <c r="F3" s="1">
        <v>3.7</v>
      </c>
      <c r="G3" s="1">
        <v>3.0</v>
      </c>
      <c r="H3" s="1">
        <v>2.9</v>
      </c>
      <c r="I3" s="1">
        <v>3.2</v>
      </c>
      <c r="J3" s="1">
        <v>3.1</v>
      </c>
      <c r="K3" s="1">
        <v>3.1</v>
      </c>
      <c r="L3" s="1">
        <v>2.6</v>
      </c>
      <c r="M3" s="1">
        <v>3.2</v>
      </c>
      <c r="N3" s="1">
        <v>3.5</v>
      </c>
      <c r="O3" s="1">
        <v>3.2</v>
      </c>
      <c r="P3" s="8">
        <f t="shared" ref="P3:P29" si="1">SUM(B3:O3)/14</f>
        <v>3.171428571</v>
      </c>
      <c r="Q3" s="9" t="s">
        <v>17</v>
      </c>
    </row>
    <row r="4">
      <c r="A4" s="7" t="str">
        <f>HYPERLINK("https://docs.google.com/document/d/1i2gtV83nPhEaJsAkhjWy8mxEf38huKRN_wWH9zboUjI/edit?usp=sharing","France")</f>
        <v>France</v>
      </c>
      <c r="B4" s="1">
        <v>2.9</v>
      </c>
      <c r="C4" s="1">
        <v>3.4</v>
      </c>
      <c r="D4" s="1">
        <v>3.4</v>
      </c>
      <c r="E4" s="1">
        <v>3.4</v>
      </c>
      <c r="F4" s="1">
        <v>2.7</v>
      </c>
      <c r="G4" s="1">
        <v>3.1</v>
      </c>
      <c r="H4" s="1">
        <v>3.1</v>
      </c>
      <c r="I4" s="1">
        <v>3.3</v>
      </c>
      <c r="J4" s="1">
        <v>3.1</v>
      </c>
      <c r="K4" s="1">
        <v>2.8</v>
      </c>
      <c r="L4" s="1">
        <v>3.2</v>
      </c>
      <c r="M4" s="1">
        <v>3.1</v>
      </c>
      <c r="N4" s="1">
        <v>2.7</v>
      </c>
      <c r="O4" s="1">
        <v>3.1</v>
      </c>
      <c r="P4" s="8">
        <f t="shared" si="1"/>
        <v>3.092857143</v>
      </c>
      <c r="Q4" s="9" t="s">
        <v>17</v>
      </c>
    </row>
    <row r="5">
      <c r="A5" s="7" t="str">
        <f>HYPERLINK("https://docs.google.com/document/d/1Oto7mo6KNud-3PfQPYJP5Z5J5hPVF6DS9jn-I6EtWY8/edit?usp=sharing","Portugal")</f>
        <v>Portugal</v>
      </c>
      <c r="B5" s="1">
        <v>3.1</v>
      </c>
      <c r="C5" s="1">
        <v>2.8</v>
      </c>
      <c r="D5" s="1">
        <v>3.4</v>
      </c>
      <c r="E5" s="1">
        <v>3.6</v>
      </c>
      <c r="F5" s="1">
        <v>3.3</v>
      </c>
      <c r="G5" s="1">
        <v>3.2</v>
      </c>
      <c r="H5" s="1">
        <v>2.8</v>
      </c>
      <c r="I5" s="1">
        <v>3.3</v>
      </c>
      <c r="J5" s="1">
        <v>3.1</v>
      </c>
      <c r="K5" s="1">
        <v>2.9</v>
      </c>
      <c r="L5" s="3">
        <v>2.8</v>
      </c>
      <c r="M5" s="1">
        <v>3.1</v>
      </c>
      <c r="N5" s="1">
        <v>2.7</v>
      </c>
      <c r="O5" s="1">
        <v>2.9</v>
      </c>
      <c r="P5" s="8">
        <f t="shared" si="1"/>
        <v>3.071428571</v>
      </c>
      <c r="Q5" s="9" t="s">
        <v>17</v>
      </c>
    </row>
    <row r="6">
      <c r="A6" s="7" t="str">
        <f>HYPERLINK("https://docs.google.com/document/d/1NmytsRTCiSqQUAHNJLGCpIPfnRLoh4SOg9WAx_H5Caw/edit?usp=sharing","Denmark ")</f>
        <v>Denmark </v>
      </c>
      <c r="B6" s="1">
        <v>2.9</v>
      </c>
      <c r="C6" s="1">
        <v>3.3</v>
      </c>
      <c r="D6" s="1">
        <v>3.0</v>
      </c>
      <c r="E6" s="1">
        <v>2.9</v>
      </c>
      <c r="F6" s="1">
        <v>3.4</v>
      </c>
      <c r="G6" s="1">
        <v>3.2</v>
      </c>
      <c r="H6" s="1">
        <v>3.2</v>
      </c>
      <c r="I6" s="1">
        <v>3.1</v>
      </c>
      <c r="J6" s="1">
        <v>3.1</v>
      </c>
      <c r="K6" s="1">
        <v>2.6</v>
      </c>
      <c r="L6" s="1">
        <v>2.7</v>
      </c>
      <c r="M6" s="1">
        <v>3.1</v>
      </c>
      <c r="N6" s="1">
        <v>3.3</v>
      </c>
      <c r="O6" s="1">
        <v>3.1</v>
      </c>
      <c r="P6" s="8">
        <f t="shared" si="1"/>
        <v>3.064285714</v>
      </c>
      <c r="Q6" s="9" t="s">
        <v>17</v>
      </c>
    </row>
    <row r="7">
      <c r="A7" s="7" t="str">
        <f>HYPERLINK("https://docs.google.com/document/d/18b6Cgt_HuqB_deB7AqkI0nfap22RT4RGkOD9-xzBbEc/edit?usp=sharing","Malta")</f>
        <v>Malta</v>
      </c>
      <c r="B7" s="1">
        <v>3.1</v>
      </c>
      <c r="C7" s="1">
        <v>3.5</v>
      </c>
      <c r="D7" s="1">
        <v>3.8</v>
      </c>
      <c r="E7" s="1">
        <v>2.9</v>
      </c>
      <c r="F7" s="1">
        <v>2.8</v>
      </c>
      <c r="G7" s="1">
        <v>3.2</v>
      </c>
      <c r="H7" s="1">
        <v>2.7</v>
      </c>
      <c r="I7" s="1">
        <v>3.3</v>
      </c>
      <c r="J7" s="1">
        <v>3.1</v>
      </c>
      <c r="K7" s="1">
        <v>3.4</v>
      </c>
      <c r="L7" s="1">
        <v>2.7</v>
      </c>
      <c r="M7" s="1">
        <v>2.9</v>
      </c>
      <c r="N7" s="1">
        <v>2.8</v>
      </c>
      <c r="O7" s="1">
        <v>2.2</v>
      </c>
      <c r="P7" s="8">
        <f t="shared" si="1"/>
        <v>3.028571429</v>
      </c>
      <c r="Q7" s="10" t="s">
        <v>18</v>
      </c>
    </row>
    <row r="8">
      <c r="A8" s="7" t="str">
        <f>HYPERLINK("https://docs.google.com/document/d/1KDd4Ixn54NQxBmLH_kF6YD-aGh3gj6VetEMrjBWxWSk/edit?usp=sharing","Lithuania")</f>
        <v>Lithuania</v>
      </c>
      <c r="B8" s="1">
        <v>3.3</v>
      </c>
      <c r="C8" s="1">
        <v>3.1</v>
      </c>
      <c r="D8" s="1">
        <v>3.3</v>
      </c>
      <c r="E8" s="1">
        <v>2.6</v>
      </c>
      <c r="F8" s="1">
        <v>2.9</v>
      </c>
      <c r="G8" s="1">
        <v>3.3</v>
      </c>
      <c r="H8" s="1">
        <v>3.1</v>
      </c>
      <c r="I8" s="1">
        <v>3.2</v>
      </c>
      <c r="J8" s="1">
        <v>3.0</v>
      </c>
      <c r="K8" s="1">
        <v>3.2</v>
      </c>
      <c r="L8" s="1">
        <v>2.7</v>
      </c>
      <c r="M8" s="1">
        <v>2.8</v>
      </c>
      <c r="N8" s="1">
        <v>2.9</v>
      </c>
      <c r="O8" s="1">
        <v>3.0</v>
      </c>
      <c r="P8" s="8">
        <f t="shared" si="1"/>
        <v>3.028571429</v>
      </c>
      <c r="Q8" s="10" t="s">
        <v>18</v>
      </c>
    </row>
    <row r="9">
      <c r="A9" s="7" t="str">
        <f>HYPERLINK("https://docs.google.com/document/d/1jRrdKM88jB0pQ7CPELl3Lg3wOxfZAsUHUFBf3yJM3As/edit?usp=sharing","Cyprus")</f>
        <v>Cyprus</v>
      </c>
      <c r="B9" s="11">
        <v>3.1</v>
      </c>
      <c r="C9" s="1">
        <v>3.1</v>
      </c>
      <c r="D9" s="1">
        <v>3.2</v>
      </c>
      <c r="E9" s="1">
        <v>2.3</v>
      </c>
      <c r="F9" s="1">
        <v>3.1</v>
      </c>
      <c r="G9" s="1">
        <v>3.6</v>
      </c>
      <c r="H9" s="1">
        <v>3.1</v>
      </c>
      <c r="I9" s="1">
        <v>3.1</v>
      </c>
      <c r="J9" s="1">
        <v>3.0</v>
      </c>
      <c r="K9" s="1">
        <v>2.9</v>
      </c>
      <c r="L9" s="1">
        <v>3.2</v>
      </c>
      <c r="M9" s="1">
        <v>2.7</v>
      </c>
      <c r="N9" s="1">
        <v>2.8</v>
      </c>
      <c r="O9" s="1">
        <v>3.1</v>
      </c>
      <c r="P9" s="8">
        <f t="shared" si="1"/>
        <v>3.021428571</v>
      </c>
      <c r="Q9" s="10" t="s">
        <v>18</v>
      </c>
    </row>
    <row r="10">
      <c r="A10" s="7" t="str">
        <f>HYPERLINK("https://docs.google.com/document/d/12BUqdAFQHWiyy8KHw_JCCHu_kL8JjTAWedNqBZ5dTmo/edit?usp=sharing","UK")</f>
        <v>UK</v>
      </c>
      <c r="B10" s="1">
        <v>2.9</v>
      </c>
      <c r="C10" s="1">
        <v>3.4</v>
      </c>
      <c r="D10" s="1">
        <v>3.4</v>
      </c>
      <c r="E10" s="1">
        <v>3.2</v>
      </c>
      <c r="F10" s="1">
        <v>2.9</v>
      </c>
      <c r="G10" s="1">
        <v>3.1</v>
      </c>
      <c r="H10" s="1">
        <v>3.1</v>
      </c>
      <c r="I10" s="1">
        <v>2.8</v>
      </c>
      <c r="J10" s="1">
        <v>3.1</v>
      </c>
      <c r="K10" s="1">
        <v>2.8</v>
      </c>
      <c r="L10" s="1">
        <v>2.7</v>
      </c>
      <c r="M10" s="1">
        <v>3.2</v>
      </c>
      <c r="N10" s="1">
        <v>2.7</v>
      </c>
      <c r="O10" s="1">
        <v>2.6</v>
      </c>
      <c r="P10" s="8">
        <f t="shared" si="1"/>
        <v>2.992857143</v>
      </c>
      <c r="Q10" s="10" t="s">
        <v>18</v>
      </c>
    </row>
    <row r="11">
      <c r="A11" s="7" t="str">
        <f>HYPERLINK("https://docs.google.com/document/d/1v6pOk_zQWJWBHCJHCjA8tH9d8cvaI6EJ9FAQPeRxya4/edit?usp=sharing","Netherlands")</f>
        <v>Netherlands</v>
      </c>
      <c r="B11" s="11">
        <v>2.7</v>
      </c>
      <c r="C11" s="1">
        <v>3.3</v>
      </c>
      <c r="D11" s="1">
        <v>3.8</v>
      </c>
      <c r="E11" s="1">
        <v>2.6</v>
      </c>
      <c r="F11" s="1">
        <v>2.9</v>
      </c>
      <c r="G11" s="1">
        <v>3.1</v>
      </c>
      <c r="H11" s="1">
        <v>2.9</v>
      </c>
      <c r="I11" s="1">
        <v>3.1</v>
      </c>
      <c r="J11" s="1">
        <v>3.2</v>
      </c>
      <c r="K11" s="1">
        <v>2.9</v>
      </c>
      <c r="L11" s="1">
        <v>2.6</v>
      </c>
      <c r="M11" s="1">
        <v>2.7</v>
      </c>
      <c r="N11" s="1">
        <v>2.7</v>
      </c>
      <c r="O11" s="1">
        <v>3.3</v>
      </c>
      <c r="P11" s="8">
        <f t="shared" si="1"/>
        <v>2.985714286</v>
      </c>
      <c r="Q11" s="10" t="s">
        <v>18</v>
      </c>
    </row>
    <row r="12">
      <c r="A12" s="7" t="str">
        <f>HYPERLINK("https://docs.google.com/document/d/1krbRDViUu1G72fQjSmTyGNqrw9mniq9hMmotSrsJyFs/edit?usp=sharing","Greece")</f>
        <v>Greece</v>
      </c>
      <c r="B12" s="1">
        <v>3.2</v>
      </c>
      <c r="C12" s="1">
        <v>2.5</v>
      </c>
      <c r="D12" s="1">
        <v>3.3</v>
      </c>
      <c r="E12" s="1">
        <v>2.8</v>
      </c>
      <c r="F12" s="1">
        <v>2.8</v>
      </c>
      <c r="G12" s="1">
        <v>2.9</v>
      </c>
      <c r="H12" s="1">
        <v>2.9</v>
      </c>
      <c r="I12" s="1">
        <v>3.8</v>
      </c>
      <c r="J12" s="1">
        <v>2.9</v>
      </c>
      <c r="K12" s="1">
        <v>3.4</v>
      </c>
      <c r="L12" s="1">
        <v>2.5</v>
      </c>
      <c r="M12" s="1">
        <v>3.0</v>
      </c>
      <c r="N12" s="1">
        <v>2.8</v>
      </c>
      <c r="O12" s="1">
        <v>2.9</v>
      </c>
      <c r="P12" s="8">
        <f t="shared" si="1"/>
        <v>2.978571429</v>
      </c>
      <c r="Q12" s="10" t="s">
        <v>18</v>
      </c>
    </row>
    <row r="13">
      <c r="A13" s="7" t="str">
        <f>HYPERLINK("https://docs.google.com/document/d/1JmQfuf7ekDJ9S3O5KO2UOs8SuxkFPXMUu9QiGFFWLfE/edit?usp=sharing","Czech Republic")</f>
        <v>Czech Republic</v>
      </c>
      <c r="B13" s="11">
        <v>3.1</v>
      </c>
      <c r="C13" s="1">
        <v>3.2</v>
      </c>
      <c r="D13" s="1">
        <v>2.9</v>
      </c>
      <c r="E13" s="1">
        <v>3.0</v>
      </c>
      <c r="F13" s="1">
        <v>3.1</v>
      </c>
      <c r="G13" s="1">
        <v>3.1</v>
      </c>
      <c r="H13" s="1">
        <v>3.1</v>
      </c>
      <c r="I13" s="1">
        <v>3.4</v>
      </c>
      <c r="J13" s="1">
        <v>2.8</v>
      </c>
      <c r="K13" s="1">
        <v>2.8</v>
      </c>
      <c r="L13" s="1">
        <v>2.9</v>
      </c>
      <c r="M13" s="1">
        <v>2.6</v>
      </c>
      <c r="N13" s="1">
        <v>2.8</v>
      </c>
      <c r="O13" s="1">
        <v>2.6</v>
      </c>
      <c r="P13" s="8">
        <f t="shared" si="1"/>
        <v>2.957142857</v>
      </c>
      <c r="Q13" s="10" t="s">
        <v>18</v>
      </c>
    </row>
    <row r="14">
      <c r="A14" s="7" t="str">
        <f>HYPERLINK("https://docs.google.com/document/d/1NJ9-QNjk-cFNFz0z4rdFs8FsCWPRMUjwnhQNXH1kZJs/edit?usp=sharing","Bulgaria")</f>
        <v>Bulgaria</v>
      </c>
      <c r="B14" s="11">
        <v>3.3</v>
      </c>
      <c r="C14" s="1">
        <v>3.2</v>
      </c>
      <c r="D14" s="1">
        <v>3.3</v>
      </c>
      <c r="E14" s="1">
        <v>2.8</v>
      </c>
      <c r="F14" s="1">
        <v>3.0</v>
      </c>
      <c r="G14" s="1">
        <v>3.1</v>
      </c>
      <c r="H14" s="1">
        <v>3.2</v>
      </c>
      <c r="I14" s="1">
        <v>3.4</v>
      </c>
      <c r="J14" s="1">
        <v>2.8</v>
      </c>
      <c r="K14" s="1">
        <v>2.6</v>
      </c>
      <c r="L14" s="1">
        <v>2.8</v>
      </c>
      <c r="M14" s="1">
        <v>2.8</v>
      </c>
      <c r="N14" s="1">
        <v>2.8</v>
      </c>
      <c r="O14" s="1">
        <v>2.2</v>
      </c>
      <c r="P14" s="8">
        <f t="shared" si="1"/>
        <v>2.95</v>
      </c>
      <c r="Q14" s="10" t="s">
        <v>18</v>
      </c>
    </row>
    <row r="15">
      <c r="A15" s="7" t="str">
        <f>HYPERLINK("https://docs.google.com/document/d/1XYUEj38VEEx2fxLm6SxFA_4RI1ypu29Gxv5A5E9HG80/edit?usp=sharing","Poland")</f>
        <v>Poland</v>
      </c>
      <c r="B15" s="11">
        <v>3.1</v>
      </c>
      <c r="C15" s="1">
        <v>3.2</v>
      </c>
      <c r="D15" s="1">
        <v>3.4</v>
      </c>
      <c r="E15" s="1">
        <v>3.1</v>
      </c>
      <c r="F15" s="1">
        <v>2.7</v>
      </c>
      <c r="G15" s="1">
        <v>2.8</v>
      </c>
      <c r="H15" s="1">
        <v>3.1</v>
      </c>
      <c r="I15" s="1">
        <v>3.2</v>
      </c>
      <c r="J15" s="1">
        <v>2.3</v>
      </c>
      <c r="K15" s="1">
        <v>2.6</v>
      </c>
      <c r="L15" s="1">
        <v>3.3</v>
      </c>
      <c r="M15" s="1">
        <v>2.9</v>
      </c>
      <c r="N15" s="1">
        <v>2.7</v>
      </c>
      <c r="O15" s="1">
        <v>2.6</v>
      </c>
      <c r="P15" s="8">
        <f t="shared" si="1"/>
        <v>2.928571429</v>
      </c>
      <c r="Q15" s="10" t="s">
        <v>18</v>
      </c>
    </row>
    <row r="16">
      <c r="A16" s="7" t="str">
        <f>HYPERLINK("https://docs.google.com/document/d/1vc9RvItH5rchheymGoM8xzaFp1Vb9ZqGylbLacmNqpo/edit?usp=sharing","Slovakia")</f>
        <v>Slovakia</v>
      </c>
      <c r="B16" s="11">
        <v>3.1</v>
      </c>
      <c r="C16" s="1">
        <v>3.3</v>
      </c>
      <c r="D16" s="1">
        <v>2.6</v>
      </c>
      <c r="E16" s="1">
        <v>2.9</v>
      </c>
      <c r="F16" s="1">
        <v>2.7</v>
      </c>
      <c r="G16" s="1">
        <v>3.1</v>
      </c>
      <c r="H16" s="1">
        <v>2.6</v>
      </c>
      <c r="I16" s="1">
        <v>3.2</v>
      </c>
      <c r="J16" s="1">
        <v>3.2</v>
      </c>
      <c r="K16" s="1">
        <v>2.9</v>
      </c>
      <c r="L16" s="1">
        <v>3.1</v>
      </c>
      <c r="M16" s="1">
        <v>3.2</v>
      </c>
      <c r="N16" s="1">
        <v>2.9</v>
      </c>
      <c r="O16" s="1">
        <v>2.1</v>
      </c>
      <c r="P16" s="8">
        <f t="shared" si="1"/>
        <v>2.921428571</v>
      </c>
      <c r="Q16" s="10" t="s">
        <v>18</v>
      </c>
    </row>
    <row r="17">
      <c r="A17" s="7" t="str">
        <f>HYPERLINK("https://docs.google.com/document/d/1zwl5UtUIJlSaC85kjjl_L9ZCcgUhiO1yp9_hK7kGxO8/edit?usp=sharing","Latvia")</f>
        <v>Latvia</v>
      </c>
      <c r="B17" s="1">
        <v>3.1</v>
      </c>
      <c r="C17" s="1">
        <v>3.2</v>
      </c>
      <c r="D17" s="1">
        <v>3.3</v>
      </c>
      <c r="E17" s="1">
        <v>2.9</v>
      </c>
      <c r="F17" s="1">
        <v>2.7</v>
      </c>
      <c r="G17" s="1">
        <v>2.9</v>
      </c>
      <c r="H17" s="1">
        <v>2.8</v>
      </c>
      <c r="I17" s="1">
        <v>3.2</v>
      </c>
      <c r="J17" s="1">
        <v>2.9</v>
      </c>
      <c r="K17" s="1">
        <v>2.7</v>
      </c>
      <c r="L17" s="1">
        <v>2.7</v>
      </c>
      <c r="M17" s="1">
        <v>2.8</v>
      </c>
      <c r="N17" s="1">
        <v>2.7</v>
      </c>
      <c r="O17" s="1">
        <v>2.8</v>
      </c>
      <c r="P17" s="8">
        <f t="shared" si="1"/>
        <v>2.907142857</v>
      </c>
      <c r="Q17" s="10" t="s">
        <v>18</v>
      </c>
    </row>
    <row r="18">
      <c r="A18" s="7" t="str">
        <f>HYPERLINK("https://docs.google.com/document/d/11VyvK9ohorUizD8cDbk-XPtGTr2c75JaPAfWsCLUOiQ/edit?usp=sharing","Sweden")</f>
        <v>Sweden</v>
      </c>
      <c r="B18" s="1">
        <v>2.6</v>
      </c>
      <c r="C18" s="1">
        <v>3.1</v>
      </c>
      <c r="D18" s="1">
        <v>2.8</v>
      </c>
      <c r="E18" s="1">
        <v>2.7</v>
      </c>
      <c r="F18" s="1">
        <v>3.0</v>
      </c>
      <c r="G18" s="1">
        <v>2.7</v>
      </c>
      <c r="H18" s="1">
        <v>3.4</v>
      </c>
      <c r="I18" s="1">
        <v>3.1</v>
      </c>
      <c r="J18" s="1">
        <v>3.1</v>
      </c>
      <c r="K18" s="1">
        <v>2.8</v>
      </c>
      <c r="L18" s="1">
        <v>2.3</v>
      </c>
      <c r="M18" s="1">
        <v>3.1</v>
      </c>
      <c r="N18" s="1">
        <v>2.2</v>
      </c>
      <c r="O18" s="1">
        <v>3.7</v>
      </c>
      <c r="P18" s="8">
        <f t="shared" si="1"/>
        <v>2.9</v>
      </c>
      <c r="Q18" s="10" t="s">
        <v>18</v>
      </c>
    </row>
    <row r="19">
      <c r="A19" s="7" t="str">
        <f>HYPERLINK("https://docs.google.com/document/d/1jRjqUJ_Hp5uebF4LnQpfW-Fg7I0fuK73AmatoXcZRWw/edit?usp=sharing","Estonia")</f>
        <v>Estonia</v>
      </c>
      <c r="B19" s="1">
        <v>2.9</v>
      </c>
      <c r="C19" s="1">
        <v>2.7</v>
      </c>
      <c r="D19" s="1">
        <v>3.1</v>
      </c>
      <c r="E19" s="1">
        <v>2.4</v>
      </c>
      <c r="F19" s="1">
        <v>2.7</v>
      </c>
      <c r="G19" s="1">
        <v>3.2</v>
      </c>
      <c r="H19" s="1">
        <v>2.8</v>
      </c>
      <c r="I19" s="1">
        <v>2.9</v>
      </c>
      <c r="J19" s="1">
        <v>2.8</v>
      </c>
      <c r="K19" s="1">
        <v>2.2</v>
      </c>
      <c r="L19" s="1">
        <v>3.6</v>
      </c>
      <c r="M19" s="1">
        <v>2.9</v>
      </c>
      <c r="N19" s="1">
        <v>3.1</v>
      </c>
      <c r="O19" s="1">
        <v>3.3</v>
      </c>
      <c r="P19" s="8">
        <f t="shared" si="1"/>
        <v>2.9</v>
      </c>
      <c r="Q19" s="10" t="s">
        <v>18</v>
      </c>
    </row>
    <row r="20">
      <c r="A20" s="7" t="str">
        <f>HYPERLINK("https://docs.google.com/document/d/1SGdWm48zlxIqgqDUmle8ZZDVy6NUS09-TpIeHKTeoxM/edit?usp=sharing","Romania")</f>
        <v>Romania</v>
      </c>
      <c r="B20" s="1">
        <v>3.4</v>
      </c>
      <c r="C20" s="1">
        <v>3.1</v>
      </c>
      <c r="D20" s="1">
        <v>2.8</v>
      </c>
      <c r="E20" s="1">
        <v>2.9</v>
      </c>
      <c r="F20" s="1">
        <v>2.8</v>
      </c>
      <c r="G20" s="1">
        <v>3.2</v>
      </c>
      <c r="H20" s="1">
        <v>3.3</v>
      </c>
      <c r="I20" s="1">
        <v>2.8</v>
      </c>
      <c r="J20" s="1">
        <v>2.5</v>
      </c>
      <c r="K20" s="1">
        <v>3.1</v>
      </c>
      <c r="L20" s="1">
        <v>3.0</v>
      </c>
      <c r="M20" s="1">
        <v>2.6</v>
      </c>
      <c r="N20" s="1">
        <v>2.2</v>
      </c>
      <c r="O20" s="1">
        <v>2.7</v>
      </c>
      <c r="P20" s="8">
        <f t="shared" si="1"/>
        <v>2.885714286</v>
      </c>
      <c r="Q20" s="10" t="s">
        <v>18</v>
      </c>
    </row>
    <row r="21">
      <c r="A21" s="7" t="str">
        <f>HYPERLINK("https://docs.google.com/document/d/1cerP8x3HfulvegEdi4O5kcoat7cYjHTc99huvjK7qqc/edit?usp=sharing","Austria")</f>
        <v>Austria</v>
      </c>
      <c r="B21" s="1">
        <v>2.9</v>
      </c>
      <c r="C21" s="1">
        <v>3.3</v>
      </c>
      <c r="D21" s="1">
        <v>3.3</v>
      </c>
      <c r="E21" s="1">
        <v>2.8</v>
      </c>
      <c r="F21" s="1">
        <v>2.7</v>
      </c>
      <c r="G21" s="1">
        <v>3.3</v>
      </c>
      <c r="H21" s="1">
        <v>3.1</v>
      </c>
      <c r="I21" s="1">
        <v>3.2</v>
      </c>
      <c r="J21" s="1">
        <v>2.9</v>
      </c>
      <c r="K21" s="1">
        <v>2.6</v>
      </c>
      <c r="L21" s="1">
        <v>3.1</v>
      </c>
      <c r="M21" s="1">
        <v>2.9</v>
      </c>
      <c r="N21" s="1">
        <v>2.2</v>
      </c>
      <c r="O21" s="1">
        <v>2.1</v>
      </c>
      <c r="P21" s="8">
        <f t="shared" si="1"/>
        <v>2.885714286</v>
      </c>
      <c r="Q21" s="10" t="s">
        <v>18</v>
      </c>
    </row>
    <row r="22">
      <c r="A22" s="7" t="str">
        <f>HYPERLINK("https://docs.google.com/document/d/1xxixIAYdelJPXz5QlaslJewy2u3CYGSVNZ8pAN83cgQ/edit?usp=sharing","Luxembourg")</f>
        <v>Luxembourg</v>
      </c>
      <c r="B22" s="1">
        <v>2.7</v>
      </c>
      <c r="C22" s="1">
        <v>3.1</v>
      </c>
      <c r="D22" s="1">
        <v>3.1</v>
      </c>
      <c r="E22" s="1">
        <v>3.2</v>
      </c>
      <c r="F22" s="1">
        <v>2.5</v>
      </c>
      <c r="G22" s="1">
        <v>2.9</v>
      </c>
      <c r="H22" s="1">
        <v>2.6</v>
      </c>
      <c r="I22" s="1">
        <v>3.0</v>
      </c>
      <c r="J22" s="1">
        <v>2.4</v>
      </c>
      <c r="K22" s="1">
        <v>3.1</v>
      </c>
      <c r="L22" s="1">
        <v>3.1</v>
      </c>
      <c r="M22" s="1">
        <v>2.9</v>
      </c>
      <c r="N22" s="1">
        <v>2.7</v>
      </c>
      <c r="O22" s="1">
        <v>2.9</v>
      </c>
      <c r="P22" s="8">
        <f t="shared" si="1"/>
        <v>2.871428571</v>
      </c>
      <c r="Q22" s="10" t="s">
        <v>18</v>
      </c>
    </row>
    <row r="23">
      <c r="A23" s="7" t="str">
        <f>HYPERLINK("https://docs.google.com/document/d/1AJMEnqWg9b8WhvEoVfUjgVarRO8W30psbZPq0K-V3-A/edit?usp=sharing","Finland ")</f>
        <v>Finland </v>
      </c>
      <c r="B23" s="1">
        <v>2.9</v>
      </c>
      <c r="C23" s="1">
        <v>2.6</v>
      </c>
      <c r="D23" s="1">
        <v>2.8</v>
      </c>
      <c r="E23" s="1">
        <v>2.7</v>
      </c>
      <c r="F23" s="1">
        <v>2.7</v>
      </c>
      <c r="G23" s="1">
        <v>2.7</v>
      </c>
      <c r="H23" s="1">
        <v>2.4</v>
      </c>
      <c r="I23" s="1">
        <v>3.6</v>
      </c>
      <c r="J23" s="1">
        <v>2.1</v>
      </c>
      <c r="K23" s="1">
        <v>2.9</v>
      </c>
      <c r="L23" s="1">
        <v>2.9</v>
      </c>
      <c r="M23" s="1">
        <v>2.7</v>
      </c>
      <c r="N23" s="1">
        <v>3.1</v>
      </c>
      <c r="O23" s="1">
        <v>4.1</v>
      </c>
      <c r="P23" s="8">
        <f t="shared" si="1"/>
        <v>2.871428571</v>
      </c>
      <c r="Q23" s="10" t="s">
        <v>18</v>
      </c>
    </row>
    <row r="24">
      <c r="A24" s="7" t="str">
        <f>HYPERLINK("https://docs.google.com/document/d/1dlAMPE-cE0wH6OoUaaX0vKFq4epap8HoXOC8d2UQcvg/edit?usp=sharing","Belgium")</f>
        <v>Belgium</v>
      </c>
      <c r="B24" s="1">
        <v>3.2</v>
      </c>
      <c r="C24" s="1">
        <v>3.1</v>
      </c>
      <c r="D24" s="1">
        <v>3.3</v>
      </c>
      <c r="E24" s="1">
        <v>2.6</v>
      </c>
      <c r="F24" s="1">
        <v>2.6</v>
      </c>
      <c r="G24" s="1">
        <v>2.9</v>
      </c>
      <c r="H24" s="1">
        <v>2.7</v>
      </c>
      <c r="I24" s="1">
        <v>3.0</v>
      </c>
      <c r="J24" s="1">
        <v>3.1</v>
      </c>
      <c r="K24" s="1">
        <v>2.6</v>
      </c>
      <c r="L24" s="1">
        <v>2.8</v>
      </c>
      <c r="M24" s="1">
        <v>2.7</v>
      </c>
      <c r="N24" s="1">
        <v>2.6</v>
      </c>
      <c r="O24" s="1">
        <v>2.9</v>
      </c>
      <c r="P24" s="8">
        <f t="shared" si="1"/>
        <v>2.864285714</v>
      </c>
      <c r="Q24" s="10" t="s">
        <v>18</v>
      </c>
    </row>
    <row r="25">
      <c r="A25" s="7" t="str">
        <f>HYPERLINK("https://docs.google.com/document/d/14tCBYx6BwoqcG7S8VHvx5HVyIru_Na1AwBl1klgoYhI/edit?usp=sharing","Spain")</f>
        <v>Spain</v>
      </c>
      <c r="B25" s="1">
        <v>3.4</v>
      </c>
      <c r="C25" s="1">
        <v>3.2</v>
      </c>
      <c r="D25" s="1">
        <v>3.1</v>
      </c>
      <c r="E25" s="1">
        <v>2.7</v>
      </c>
      <c r="F25" s="1">
        <v>2.6</v>
      </c>
      <c r="G25" s="1">
        <v>3.2</v>
      </c>
      <c r="H25" s="1">
        <v>2.9</v>
      </c>
      <c r="I25" s="1">
        <v>3.4</v>
      </c>
      <c r="J25" s="1">
        <v>2.7</v>
      </c>
      <c r="K25" s="1">
        <v>2.6</v>
      </c>
      <c r="L25" s="1">
        <v>2.7</v>
      </c>
      <c r="M25" s="1">
        <v>2.6</v>
      </c>
      <c r="N25" s="1">
        <v>2.6</v>
      </c>
      <c r="O25" s="1">
        <v>2.4</v>
      </c>
      <c r="P25" s="8">
        <f t="shared" si="1"/>
        <v>2.864285714</v>
      </c>
      <c r="Q25" s="10" t="s">
        <v>18</v>
      </c>
    </row>
    <row r="26">
      <c r="A26" s="7" t="str">
        <f>HYPERLINK("https://docs.google.com/document/d/1MEdcwkGly5NjnE_ko2R6hBqA6pMdIyRjSiKLfiGVvLs/edit?usp=sharing","Germany")</f>
        <v>Germany</v>
      </c>
      <c r="B26" s="1">
        <v>3.3</v>
      </c>
      <c r="C26" s="1">
        <v>3.4</v>
      </c>
      <c r="D26" s="1">
        <v>3.8</v>
      </c>
      <c r="E26" s="3">
        <v>2.3</v>
      </c>
      <c r="F26" s="3">
        <v>2.7</v>
      </c>
      <c r="G26" s="1">
        <v>2.4</v>
      </c>
      <c r="H26" s="1">
        <v>2.6</v>
      </c>
      <c r="I26" s="1">
        <v>3.1</v>
      </c>
      <c r="J26" s="1">
        <v>2.8</v>
      </c>
      <c r="K26" s="1">
        <v>2.4</v>
      </c>
      <c r="L26" s="1">
        <v>3.0</v>
      </c>
      <c r="M26" s="1">
        <v>2.3</v>
      </c>
      <c r="N26" s="1">
        <v>2.8</v>
      </c>
      <c r="O26" s="1">
        <v>2.8</v>
      </c>
      <c r="P26" s="8">
        <f t="shared" si="1"/>
        <v>2.835714286</v>
      </c>
      <c r="Q26" s="10" t="s">
        <v>18</v>
      </c>
    </row>
    <row r="27">
      <c r="A27" s="7" t="str">
        <f>HYPERLINK("https://docs.google.com/document/d/1jdSs0UXwmW7yeoMyu7heZ3eahWlyljkOg9St8Pwl-fI/edit?usp=sharing","Slovenia")</f>
        <v>Slovenia</v>
      </c>
      <c r="B27" s="1">
        <v>2.4</v>
      </c>
      <c r="C27" s="1">
        <v>2.6</v>
      </c>
      <c r="D27" s="1">
        <v>2.6</v>
      </c>
      <c r="E27" s="1">
        <v>2.8</v>
      </c>
      <c r="F27" s="1">
        <v>2.6</v>
      </c>
      <c r="G27" s="1">
        <v>2.8</v>
      </c>
      <c r="H27" s="1">
        <v>2.7</v>
      </c>
      <c r="I27" s="1">
        <v>3.4</v>
      </c>
      <c r="J27" s="1">
        <v>2.9</v>
      </c>
      <c r="K27" s="1">
        <v>2.5</v>
      </c>
      <c r="L27" s="1">
        <v>2.9</v>
      </c>
      <c r="M27" s="1">
        <v>2.4</v>
      </c>
      <c r="N27" s="1">
        <v>2.2</v>
      </c>
      <c r="O27" s="1">
        <v>3.0</v>
      </c>
      <c r="P27" s="8">
        <f t="shared" si="1"/>
        <v>2.7</v>
      </c>
      <c r="Q27" s="10" t="s">
        <v>18</v>
      </c>
    </row>
    <row r="28">
      <c r="A28" s="7" t="str">
        <f>HYPERLINK("https://docs.google.com/document/d/1GUVsqODuuVEMV5dF_t-9csdpBnnrpG744JOMhCUZWfE/edit?usp=sharing","Hungary")</f>
        <v>Hungary</v>
      </c>
      <c r="B28" s="1">
        <v>2.7</v>
      </c>
      <c r="C28" s="1">
        <v>2.8</v>
      </c>
      <c r="D28" s="3">
        <v>3.3</v>
      </c>
      <c r="E28" s="1">
        <v>2.3</v>
      </c>
      <c r="F28" s="1">
        <v>2.2</v>
      </c>
      <c r="G28" s="1">
        <v>2.7</v>
      </c>
      <c r="H28" s="1">
        <v>2.4</v>
      </c>
      <c r="I28" s="1">
        <v>2.8</v>
      </c>
      <c r="J28" s="1">
        <v>2.7</v>
      </c>
      <c r="K28" s="1">
        <v>2.6</v>
      </c>
      <c r="L28" s="1">
        <v>2.9</v>
      </c>
      <c r="M28" s="1">
        <v>2.8</v>
      </c>
      <c r="N28" s="1">
        <v>2.6</v>
      </c>
      <c r="O28" s="1">
        <v>2.9</v>
      </c>
      <c r="P28" s="8">
        <f t="shared" si="1"/>
        <v>2.692857143</v>
      </c>
      <c r="Q28" s="10" t="s">
        <v>18</v>
      </c>
    </row>
    <row r="29">
      <c r="A29" s="7" t="str">
        <f>HYPERLINK("https://docs.google.com/document/d/11teKinR6l3mRg4BZXpTmAWpCwnL97c9JhVx3OapJ9X8/edit?usp=sharing","Italy")</f>
        <v>Italy</v>
      </c>
      <c r="B29" s="1">
        <v>2.7</v>
      </c>
      <c r="C29" s="1">
        <v>3.1</v>
      </c>
      <c r="D29" s="1">
        <v>3.3</v>
      </c>
      <c r="E29" s="1">
        <v>2.4</v>
      </c>
      <c r="F29" s="1">
        <v>2.7</v>
      </c>
      <c r="G29" s="1">
        <v>2.6</v>
      </c>
      <c r="H29" s="1">
        <v>2.7</v>
      </c>
      <c r="I29" s="1">
        <v>3.4</v>
      </c>
      <c r="J29" s="1">
        <v>2.8</v>
      </c>
      <c r="K29" s="1">
        <v>1.7</v>
      </c>
      <c r="L29" s="1">
        <v>2.9</v>
      </c>
      <c r="M29" s="1">
        <v>2.7</v>
      </c>
      <c r="N29" s="1">
        <v>2.3</v>
      </c>
      <c r="O29" s="1">
        <v>2.4</v>
      </c>
      <c r="P29" s="8">
        <f t="shared" si="1"/>
        <v>2.692857143</v>
      </c>
      <c r="Q29" s="10" t="s">
        <v>18</v>
      </c>
    </row>
    <row r="30">
      <c r="A30" s="4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>
      <c r="A31" s="7" t="str">
        <f>HYPERLINK("https://docs.google.com/document/d/1V53-8S0U_Fly2gpbm-Zz1D5t763GY1uJvbDrw8gmguE/edit?usp=sharing","Norway")</f>
        <v>Norway</v>
      </c>
      <c r="B31" s="1">
        <v>3.1</v>
      </c>
      <c r="C31" s="1">
        <v>3.3</v>
      </c>
      <c r="D31" s="1">
        <v>3.2</v>
      </c>
      <c r="E31" s="1">
        <v>2.9</v>
      </c>
      <c r="F31" s="1">
        <v>2.9</v>
      </c>
      <c r="G31" s="1">
        <v>3.1</v>
      </c>
      <c r="H31" s="1">
        <v>3.2</v>
      </c>
      <c r="I31" s="1">
        <v>3.2</v>
      </c>
      <c r="J31" s="1">
        <v>2.9</v>
      </c>
      <c r="K31" s="1">
        <v>3.2</v>
      </c>
      <c r="L31" s="1">
        <v>2.8</v>
      </c>
      <c r="M31" s="1">
        <v>2.8</v>
      </c>
      <c r="N31" s="1">
        <v>2.8</v>
      </c>
      <c r="O31" s="1">
        <v>4.1</v>
      </c>
      <c r="P31" s="8">
        <f t="shared" ref="P31:P50" si="2">SUM(B31:O31)/14</f>
        <v>3.107142857</v>
      </c>
      <c r="Q31" s="9" t="s">
        <v>17</v>
      </c>
    </row>
    <row r="32">
      <c r="A32" s="7" t="str">
        <f>HYPERLINK("https://docs.google.com/document/d/1HjN5c6Nt9EFkbcrZBATUMEi334vSEt-aZyyIsHGJ5ho/edit?usp=sharing","South Africa")</f>
        <v>South Africa</v>
      </c>
      <c r="B32" s="1">
        <v>3.6</v>
      </c>
      <c r="C32" s="1">
        <v>3.3</v>
      </c>
      <c r="D32" s="1">
        <v>3.1</v>
      </c>
      <c r="E32" s="1">
        <v>2.9</v>
      </c>
      <c r="F32" s="1">
        <v>3.1</v>
      </c>
      <c r="G32" s="1">
        <v>3.0</v>
      </c>
      <c r="H32" s="1">
        <v>3.3</v>
      </c>
      <c r="I32" s="1">
        <v>3.0</v>
      </c>
      <c r="J32" s="1">
        <v>3.1</v>
      </c>
      <c r="K32" s="1">
        <v>2.8</v>
      </c>
      <c r="L32" s="1">
        <v>2.9</v>
      </c>
      <c r="M32" s="1">
        <v>2.7</v>
      </c>
      <c r="N32" s="1">
        <v>2.9</v>
      </c>
      <c r="O32" s="1">
        <v>2.9</v>
      </c>
      <c r="P32" s="8">
        <f t="shared" si="2"/>
        <v>3.042857143</v>
      </c>
      <c r="Q32" s="10" t="s">
        <v>18</v>
      </c>
    </row>
    <row r="33">
      <c r="A33" s="7" t="str">
        <f>HYPERLINK("https://docs.google.com/document/d/1Y5DRH4mlL-H_aNZtVTkNuR7KFQRGfNKnlRCXUu4bc_w/edit?usp=sharing","Switzerland")</f>
        <v>Switzerland</v>
      </c>
      <c r="B33" s="1">
        <v>3.1</v>
      </c>
      <c r="C33" s="1">
        <v>3.2</v>
      </c>
      <c r="D33" s="1">
        <v>3.3</v>
      </c>
      <c r="E33" s="1">
        <v>3.1</v>
      </c>
      <c r="F33" s="1">
        <v>2.9</v>
      </c>
      <c r="G33" s="1">
        <v>3.2</v>
      </c>
      <c r="H33" s="1">
        <v>2.7</v>
      </c>
      <c r="I33" s="1">
        <v>2.9</v>
      </c>
      <c r="J33" s="1">
        <v>3.1</v>
      </c>
      <c r="K33" s="1">
        <v>3.1</v>
      </c>
      <c r="L33" s="1">
        <v>3.0</v>
      </c>
      <c r="M33" s="1">
        <v>2.7</v>
      </c>
      <c r="N33" s="1">
        <v>2.7</v>
      </c>
      <c r="O33" s="1">
        <v>3.3</v>
      </c>
      <c r="P33" s="8">
        <f t="shared" si="2"/>
        <v>3.021428571</v>
      </c>
      <c r="Q33" s="10" t="s">
        <v>18</v>
      </c>
    </row>
    <row r="34">
      <c r="A34" s="7" t="str">
        <f>HYPERLINK("https://docs.google.com/document/d/1Jj9OGrbfVmJbJh9xAJOk4Q-YBTJVKf04ILKUbzJ4lR8/edit?usp=sharing","Argentina")</f>
        <v>Argentina</v>
      </c>
      <c r="B34" s="11">
        <v>3.1</v>
      </c>
      <c r="C34" s="1">
        <v>3.1</v>
      </c>
      <c r="D34" s="1">
        <v>3.1</v>
      </c>
      <c r="E34" s="1">
        <v>2.7</v>
      </c>
      <c r="F34" s="1">
        <v>2.9</v>
      </c>
      <c r="G34" s="1">
        <v>3.2</v>
      </c>
      <c r="H34" s="1">
        <v>3.1</v>
      </c>
      <c r="I34" s="1">
        <v>3.2</v>
      </c>
      <c r="J34" s="1">
        <v>3.0</v>
      </c>
      <c r="K34" s="1">
        <v>2.6</v>
      </c>
      <c r="L34" s="1">
        <v>2.7</v>
      </c>
      <c r="M34" s="1">
        <v>3.3</v>
      </c>
      <c r="N34" s="1">
        <v>3.0</v>
      </c>
      <c r="O34" s="1">
        <v>2.8</v>
      </c>
      <c r="P34" s="8">
        <f t="shared" si="2"/>
        <v>2.985714286</v>
      </c>
      <c r="Q34" s="10" t="s">
        <v>18</v>
      </c>
    </row>
    <row r="35">
      <c r="A35" s="12" t="str">
        <f>HYPERLINK("https://docs.google.com/document/d/1_xFOkjYjqRLuKUkW9zmwAGcgwt_AnNls53m1SzxXfhA/edit?usp=sharing","Canada")</f>
        <v>Canada</v>
      </c>
      <c r="B35" s="11">
        <v>3.2</v>
      </c>
      <c r="C35" s="1">
        <v>3.2</v>
      </c>
      <c r="D35" s="1">
        <v>2.8</v>
      </c>
      <c r="E35" s="1">
        <v>2.9</v>
      </c>
      <c r="F35" s="1">
        <v>2.6</v>
      </c>
      <c r="G35" s="1">
        <v>3.1</v>
      </c>
      <c r="H35" s="1">
        <v>3.0</v>
      </c>
      <c r="I35" s="1">
        <v>3.3</v>
      </c>
      <c r="J35" s="1">
        <v>2.7</v>
      </c>
      <c r="K35" s="1">
        <v>3.1</v>
      </c>
      <c r="L35" s="1">
        <v>2.8</v>
      </c>
      <c r="M35" s="1">
        <v>2.6</v>
      </c>
      <c r="N35" s="1">
        <v>3.3</v>
      </c>
      <c r="O35" s="1">
        <v>2.9</v>
      </c>
      <c r="P35" s="8">
        <f t="shared" si="2"/>
        <v>2.964285714</v>
      </c>
      <c r="Q35" s="10" t="s">
        <v>18</v>
      </c>
    </row>
    <row r="36">
      <c r="A36" s="7" t="str">
        <f>HYPERLINK("https://docs.google.com/document/d/1kUBbbHftOsLxLqoHtrBj_VR4XfzsSQGJm88CdiC1zXI/edit?usp=sharing","Iceland")</f>
        <v>Iceland</v>
      </c>
      <c r="B36" s="11">
        <v>3.2</v>
      </c>
      <c r="C36" s="1">
        <v>3.1</v>
      </c>
      <c r="D36" s="1">
        <v>2.7</v>
      </c>
      <c r="E36" s="1">
        <v>3.0</v>
      </c>
      <c r="F36" s="1">
        <v>2.9</v>
      </c>
      <c r="G36" s="1">
        <v>3.1</v>
      </c>
      <c r="H36" s="1">
        <v>3.0</v>
      </c>
      <c r="I36" s="1">
        <v>3.1</v>
      </c>
      <c r="J36" s="1">
        <v>2.7</v>
      </c>
      <c r="K36" s="1">
        <v>3.3</v>
      </c>
      <c r="L36" s="1">
        <v>2.8</v>
      </c>
      <c r="M36" s="1">
        <v>2.7</v>
      </c>
      <c r="N36" s="1">
        <v>2.8</v>
      </c>
      <c r="O36" s="1">
        <v>3.1</v>
      </c>
      <c r="P36" s="8">
        <f t="shared" si="2"/>
        <v>2.964285714</v>
      </c>
      <c r="Q36" s="10" t="s">
        <v>18</v>
      </c>
    </row>
    <row r="37">
      <c r="A37" s="7" t="str">
        <f>HYPERLINK("https://docs.google.com/document/d/1bsWLOAZYjlsD8Km_1IWp97vJjBgLGZ0XsxiV3AnnpTA/edit?usp=sharing","New Zealand")</f>
        <v>New Zealand</v>
      </c>
      <c r="B37" s="1">
        <v>3.0</v>
      </c>
      <c r="C37" s="1">
        <v>3.1</v>
      </c>
      <c r="D37" s="1">
        <v>3.2</v>
      </c>
      <c r="E37" s="1">
        <v>3.0</v>
      </c>
      <c r="F37" s="1">
        <v>2.8</v>
      </c>
      <c r="G37" s="1">
        <v>2.8</v>
      </c>
      <c r="H37" s="1">
        <v>2.9</v>
      </c>
      <c r="I37" s="1">
        <v>3.0</v>
      </c>
      <c r="J37" s="1">
        <v>2.9</v>
      </c>
      <c r="K37" s="1">
        <v>3.1</v>
      </c>
      <c r="L37" s="1">
        <v>2.7</v>
      </c>
      <c r="M37" s="1">
        <v>2.6</v>
      </c>
      <c r="N37" s="1">
        <v>2.5</v>
      </c>
      <c r="O37" s="1">
        <v>3.2</v>
      </c>
      <c r="P37" s="8">
        <f t="shared" si="2"/>
        <v>2.914285714</v>
      </c>
      <c r="Q37" s="10" t="s">
        <v>18</v>
      </c>
    </row>
    <row r="38">
      <c r="A38" s="7" t="str">
        <f>HYPERLINK("https://docs.google.com/document/d/1T0qu_I56Jc3IVuoSS32OgPiXWmoCOSmsjIbSCtUDxpg/edit?usp=sharing","Israel")</f>
        <v>Israel</v>
      </c>
      <c r="B38" s="1">
        <v>2.8</v>
      </c>
      <c r="C38" s="1">
        <v>3.1</v>
      </c>
      <c r="D38" s="1">
        <v>3.3</v>
      </c>
      <c r="E38" s="1">
        <v>2.7</v>
      </c>
      <c r="F38" s="1">
        <v>3.1</v>
      </c>
      <c r="G38" s="1">
        <v>2.8</v>
      </c>
      <c r="H38" s="1">
        <v>2.7</v>
      </c>
      <c r="I38" s="1">
        <v>3.4</v>
      </c>
      <c r="J38" s="1">
        <v>2.7</v>
      </c>
      <c r="K38" s="1">
        <v>2.6</v>
      </c>
      <c r="L38" s="1">
        <v>2.9</v>
      </c>
      <c r="M38" s="1">
        <v>2.6</v>
      </c>
      <c r="N38" s="1">
        <v>3.0</v>
      </c>
      <c r="O38" s="1">
        <v>2.2</v>
      </c>
      <c r="P38" s="8">
        <f t="shared" si="2"/>
        <v>2.85</v>
      </c>
      <c r="Q38" s="10" t="s">
        <v>18</v>
      </c>
    </row>
    <row r="39">
      <c r="A39" s="7" t="str">
        <f>HYPERLINK("https://docs.google.com/document/d/1UbkW7bCRTh88ww0ofoxx8kOwtMkyuqEVjiLZxZzSjGs/edit?usp=sharing","Taiwan")</f>
        <v>Taiwan</v>
      </c>
      <c r="B39" s="1">
        <v>3.2</v>
      </c>
      <c r="C39" s="1">
        <v>3.1</v>
      </c>
      <c r="D39" s="1">
        <v>2.9</v>
      </c>
      <c r="E39" s="1">
        <v>3.1</v>
      </c>
      <c r="F39" s="1">
        <v>2.8</v>
      </c>
      <c r="G39" s="1">
        <v>2.7</v>
      </c>
      <c r="H39" s="1">
        <v>2.9</v>
      </c>
      <c r="I39" s="1">
        <v>2.4</v>
      </c>
      <c r="J39" s="1">
        <v>2.9</v>
      </c>
      <c r="K39" s="1">
        <v>2.4</v>
      </c>
      <c r="L39" s="1">
        <v>2.8</v>
      </c>
      <c r="M39" s="1">
        <v>2.9</v>
      </c>
      <c r="N39" s="1">
        <v>2.8</v>
      </c>
      <c r="O39" s="1">
        <v>2.7</v>
      </c>
      <c r="P39" s="8">
        <f t="shared" si="2"/>
        <v>2.828571429</v>
      </c>
      <c r="Q39" s="10" t="s">
        <v>18</v>
      </c>
    </row>
    <row r="40">
      <c r="A40" s="7" t="str">
        <f>HYPERLINK("https://docs.google.com/document/d/11SmVztCmW81BEglk05t5nJv9UUEINYL566vjVGEQHPQ/edit?usp=sharing","Australia")</f>
        <v>Australia</v>
      </c>
      <c r="B40" s="1">
        <v>2.4</v>
      </c>
      <c r="C40" s="1">
        <v>3.3</v>
      </c>
      <c r="D40" s="1">
        <v>3.3</v>
      </c>
      <c r="E40" s="1">
        <v>3.4</v>
      </c>
      <c r="F40" s="1">
        <v>3.0</v>
      </c>
      <c r="G40" s="1">
        <v>2.8</v>
      </c>
      <c r="H40" s="1">
        <v>2.3</v>
      </c>
      <c r="I40" s="1">
        <v>2.6</v>
      </c>
      <c r="J40" s="1">
        <v>2.7</v>
      </c>
      <c r="K40" s="1">
        <v>2.6</v>
      </c>
      <c r="L40" s="1">
        <v>2.7</v>
      </c>
      <c r="M40" s="1">
        <v>2.8</v>
      </c>
      <c r="N40" s="1">
        <v>2.5</v>
      </c>
      <c r="O40" s="1">
        <v>3.1</v>
      </c>
      <c r="P40" s="8">
        <f t="shared" si="2"/>
        <v>2.821428571</v>
      </c>
      <c r="Q40" s="10" t="s">
        <v>18</v>
      </c>
    </row>
    <row r="41">
      <c r="A41" s="7" t="str">
        <f>HYPERLINK("https://docs.google.com/document/d/13i-GxjtM5StdTU-dz8YNqhAco8ruhouW-drmcQ7L5u4/edit?usp=sharing","Japan")</f>
        <v>Japan</v>
      </c>
      <c r="B41" s="1">
        <v>3.2</v>
      </c>
      <c r="C41" s="1">
        <v>3.2</v>
      </c>
      <c r="D41" s="1">
        <v>2.7</v>
      </c>
      <c r="E41" s="1">
        <v>2.3</v>
      </c>
      <c r="F41" s="1">
        <v>2.7</v>
      </c>
      <c r="G41" s="1">
        <v>2.7</v>
      </c>
      <c r="H41" s="1">
        <v>3.3</v>
      </c>
      <c r="I41" s="1">
        <v>2.9</v>
      </c>
      <c r="J41" s="1">
        <v>2.8</v>
      </c>
      <c r="K41" s="1">
        <v>2.9</v>
      </c>
      <c r="L41" s="1">
        <v>2.9</v>
      </c>
      <c r="M41" s="1">
        <v>2.6</v>
      </c>
      <c r="N41" s="1">
        <v>2.7</v>
      </c>
      <c r="O41" s="1">
        <v>2.6</v>
      </c>
      <c r="P41" s="8">
        <f t="shared" si="2"/>
        <v>2.821428571</v>
      </c>
      <c r="Q41" s="10" t="s">
        <v>18</v>
      </c>
    </row>
    <row r="42">
      <c r="A42" s="7" t="str">
        <f>HYPERLINK("https://docs.google.com/document/d/1k6isHgomtF_7PitoNG0mqTtbT4zrdVPgJxg2SPILxNs/edit?usp=sharing","Philippines")</f>
        <v>Philippines</v>
      </c>
      <c r="B42" s="1">
        <v>2.9</v>
      </c>
      <c r="C42" s="1">
        <v>3.2</v>
      </c>
      <c r="D42" s="1">
        <v>3.1</v>
      </c>
      <c r="E42" s="1">
        <v>2.7</v>
      </c>
      <c r="F42" s="1">
        <v>2.8</v>
      </c>
      <c r="G42" s="1">
        <v>2.0</v>
      </c>
      <c r="H42" s="1">
        <v>3.1</v>
      </c>
      <c r="I42" s="1">
        <v>2.7</v>
      </c>
      <c r="J42" s="1">
        <v>2.8</v>
      </c>
      <c r="K42" s="1">
        <v>3.1</v>
      </c>
      <c r="L42" s="1">
        <v>2.8</v>
      </c>
      <c r="M42" s="1">
        <v>2.9</v>
      </c>
      <c r="N42" s="1">
        <v>3.1</v>
      </c>
      <c r="O42" s="1">
        <v>2.2</v>
      </c>
      <c r="P42" s="8">
        <f t="shared" si="2"/>
        <v>2.814285714</v>
      </c>
      <c r="Q42" s="10" t="s">
        <v>18</v>
      </c>
    </row>
    <row r="43">
      <c r="A43" s="7" t="str">
        <f>HYPERLINK("https://docs.google.com/document/d/1BMGlfUU8x0GE3r-uw-sERLS4_F0T7jJSQseWhcz_lCE/edit?usp=sharing","Brazil")</f>
        <v>Brazil</v>
      </c>
      <c r="B43" s="1">
        <v>3.1</v>
      </c>
      <c r="C43" s="1">
        <v>2.9</v>
      </c>
      <c r="D43" s="1">
        <v>2.4</v>
      </c>
      <c r="E43" s="1">
        <v>2.6</v>
      </c>
      <c r="F43" s="1">
        <v>3.1</v>
      </c>
      <c r="G43" s="1">
        <v>2.2</v>
      </c>
      <c r="H43" s="1">
        <v>3.1</v>
      </c>
      <c r="I43" s="1">
        <v>3.2</v>
      </c>
      <c r="J43" s="1">
        <v>2.9</v>
      </c>
      <c r="K43" s="1">
        <v>2.7</v>
      </c>
      <c r="L43" s="1">
        <v>3.1</v>
      </c>
      <c r="M43" s="1">
        <v>2.8</v>
      </c>
      <c r="N43" s="1">
        <v>3.2</v>
      </c>
      <c r="O43" s="1">
        <v>2.0</v>
      </c>
      <c r="P43" s="8">
        <f t="shared" si="2"/>
        <v>2.807142857</v>
      </c>
      <c r="Q43" s="10" t="s">
        <v>18</v>
      </c>
    </row>
    <row r="44">
      <c r="A44" s="7" t="str">
        <f>HYPERLINK("https://docs.google.com/document/d/176KPZ1Xsc1d2WMXj3LRBZYJOv7FwJUCuEjnM6F8f9QM/edit?usp=sharing","US")</f>
        <v>US</v>
      </c>
      <c r="B44" s="1">
        <v>3.1</v>
      </c>
      <c r="C44" s="1">
        <v>2.9</v>
      </c>
      <c r="D44" s="1">
        <v>3.2</v>
      </c>
      <c r="E44" s="1">
        <v>2.7</v>
      </c>
      <c r="F44" s="1">
        <v>2.7</v>
      </c>
      <c r="G44" s="1">
        <v>2.9</v>
      </c>
      <c r="H44" s="1">
        <v>3.1</v>
      </c>
      <c r="I44" s="1">
        <v>2.6</v>
      </c>
      <c r="J44" s="1">
        <v>2.9</v>
      </c>
      <c r="K44" s="1">
        <v>2.3</v>
      </c>
      <c r="L44" s="1">
        <v>2.2</v>
      </c>
      <c r="M44" s="1">
        <v>2.8</v>
      </c>
      <c r="N44" s="1">
        <v>2.5</v>
      </c>
      <c r="O44" s="1">
        <v>2.5</v>
      </c>
      <c r="P44" s="8">
        <f t="shared" si="2"/>
        <v>2.742857143</v>
      </c>
      <c r="Q44" s="10" t="s">
        <v>18</v>
      </c>
    </row>
    <row r="45">
      <c r="A45" s="7" t="str">
        <f>HYPERLINK("https://docs.google.com/document/d/18gXhk7BuISih2fIqHQzoaQffxd0hUpKIKYIDkSNBMKk/edit?usp=sharing","Singapore")</f>
        <v>Singapore</v>
      </c>
      <c r="B45" s="1">
        <v>2.6</v>
      </c>
      <c r="C45" s="1">
        <v>3.2</v>
      </c>
      <c r="D45" s="1">
        <v>3.2</v>
      </c>
      <c r="E45" s="1">
        <v>2.7</v>
      </c>
      <c r="F45" s="1">
        <v>2.8</v>
      </c>
      <c r="G45" s="1">
        <v>2.8</v>
      </c>
      <c r="H45" s="1">
        <v>2.3</v>
      </c>
      <c r="I45" s="1">
        <v>2.6</v>
      </c>
      <c r="J45" s="1">
        <v>2.5</v>
      </c>
      <c r="K45" s="1">
        <v>2.8</v>
      </c>
      <c r="L45" s="1">
        <v>2.6</v>
      </c>
      <c r="M45" s="1">
        <v>2.7</v>
      </c>
      <c r="N45" s="1">
        <v>2.7</v>
      </c>
      <c r="O45" s="1">
        <v>2.3</v>
      </c>
      <c r="P45" s="8">
        <f t="shared" si="2"/>
        <v>2.7</v>
      </c>
      <c r="Q45" s="10" t="s">
        <v>18</v>
      </c>
    </row>
    <row r="46">
      <c r="A46" s="7" t="str">
        <f>HYPERLINK("https://docs.google.com/document/d/1R2ju0-xe-eNlnhH9ocZtRscOKIXX8ChGlmw-dLHyiVM/edit?usp=sharing","Malaysia")</f>
        <v>Malaysia</v>
      </c>
      <c r="B46" s="1">
        <v>2.7</v>
      </c>
      <c r="C46" s="1">
        <v>2.7</v>
      </c>
      <c r="D46" s="1">
        <v>2.9</v>
      </c>
      <c r="E46" s="1">
        <v>2.4</v>
      </c>
      <c r="F46" s="1">
        <v>2.6</v>
      </c>
      <c r="G46" s="1">
        <v>2.4</v>
      </c>
      <c r="H46" s="1">
        <v>2.7</v>
      </c>
      <c r="I46" s="1">
        <v>2.8</v>
      </c>
      <c r="J46" s="1">
        <v>2.7</v>
      </c>
      <c r="K46" s="1">
        <v>2.9</v>
      </c>
      <c r="L46" s="1">
        <v>2.5</v>
      </c>
      <c r="M46" s="1">
        <v>2.6</v>
      </c>
      <c r="N46" s="1">
        <v>2.8</v>
      </c>
      <c r="O46" s="1">
        <v>2.3</v>
      </c>
      <c r="P46" s="8">
        <f t="shared" si="2"/>
        <v>2.642857143</v>
      </c>
      <c r="Q46" s="10" t="s">
        <v>18</v>
      </c>
    </row>
    <row r="47">
      <c r="A47" s="7" t="str">
        <f>HYPERLINK("https://docs.google.com/document/d/1jxq9aeBS4Llwj0E7ZOa6Li5GuDf782_4y4j1fwMBSMo/edit?usp=sharing","Thailand")</f>
        <v>Thailand</v>
      </c>
      <c r="B47" s="1">
        <v>2.7</v>
      </c>
      <c r="C47" s="1">
        <v>3.2</v>
      </c>
      <c r="D47" s="1">
        <v>2.3</v>
      </c>
      <c r="E47" s="1">
        <v>2.6</v>
      </c>
      <c r="F47" s="1">
        <v>2.8</v>
      </c>
      <c r="G47" s="1">
        <v>2.5</v>
      </c>
      <c r="H47" s="1">
        <v>2.2</v>
      </c>
      <c r="I47" s="1">
        <v>2.6</v>
      </c>
      <c r="J47" s="1">
        <v>2.3</v>
      </c>
      <c r="K47" s="1">
        <v>2.8</v>
      </c>
      <c r="L47" s="1">
        <v>2.8</v>
      </c>
      <c r="M47" s="1">
        <v>2.6</v>
      </c>
      <c r="N47" s="1">
        <v>2.7</v>
      </c>
      <c r="O47" s="1">
        <v>1.7</v>
      </c>
      <c r="P47" s="8">
        <f t="shared" si="2"/>
        <v>2.557142857</v>
      </c>
      <c r="Q47" s="10" t="s">
        <v>18</v>
      </c>
    </row>
    <row r="48">
      <c r="A48" s="7" t="str">
        <f>HYPERLINK("https://docs.google.com/document/d/1gZfaympnzoCA77BRs9RFEZVlh0r4mmj_y3bywgrP8Cc/edit?usp=sharing","India")</f>
        <v>India</v>
      </c>
      <c r="B48" s="1">
        <v>3.4</v>
      </c>
      <c r="C48" s="1">
        <v>2.7</v>
      </c>
      <c r="D48" s="1">
        <v>2.3</v>
      </c>
      <c r="E48" s="1">
        <v>1.6</v>
      </c>
      <c r="F48" s="1">
        <v>2.4</v>
      </c>
      <c r="G48" s="1">
        <v>2.3</v>
      </c>
      <c r="H48" s="1">
        <v>1.8</v>
      </c>
      <c r="I48" s="1">
        <v>2.3</v>
      </c>
      <c r="J48" s="1">
        <v>2.4</v>
      </c>
      <c r="K48" s="1">
        <v>2.6</v>
      </c>
      <c r="L48" s="1">
        <v>2.7</v>
      </c>
      <c r="M48" s="1">
        <v>2.8</v>
      </c>
      <c r="N48" s="1">
        <v>2.4</v>
      </c>
      <c r="O48" s="1">
        <v>2.1</v>
      </c>
      <c r="P48" s="8">
        <f t="shared" si="2"/>
        <v>2.414285714</v>
      </c>
      <c r="Q48" s="13" t="s">
        <v>20</v>
      </c>
      <c r="R48" s="14"/>
    </row>
    <row r="49">
      <c r="A49" s="7" t="str">
        <f>HYPERLINK("https://docs.google.com/document/d/1rxvbsC3GUYe6GqeuxxNDZwbffgss4nTRupaiGW0oxb4/edit?usp=sharing","Russia")</f>
        <v>Russia</v>
      </c>
      <c r="B49" s="1">
        <v>2.7</v>
      </c>
      <c r="C49" s="1">
        <v>2.9</v>
      </c>
      <c r="D49" s="1">
        <v>2.6</v>
      </c>
      <c r="E49" s="1">
        <v>2.9</v>
      </c>
      <c r="F49" s="1">
        <v>1.3</v>
      </c>
      <c r="G49" s="1">
        <v>1.9</v>
      </c>
      <c r="H49" s="1">
        <v>1.4</v>
      </c>
      <c r="I49" s="1">
        <v>2.8</v>
      </c>
      <c r="J49" s="1">
        <v>1.4</v>
      </c>
      <c r="K49" s="1">
        <v>1.4</v>
      </c>
      <c r="L49" s="1">
        <v>2.6</v>
      </c>
      <c r="M49" s="1">
        <v>2.2</v>
      </c>
      <c r="N49" s="1">
        <v>1.6</v>
      </c>
      <c r="O49" s="1">
        <v>1.7</v>
      </c>
      <c r="P49" s="8">
        <f t="shared" si="2"/>
        <v>2.1</v>
      </c>
      <c r="Q49" s="13" t="s">
        <v>20</v>
      </c>
      <c r="R49" s="14"/>
    </row>
    <row r="50">
      <c r="A50" s="7" t="str">
        <f>HYPERLINK("https://docs.google.com/document/d/1he2ThnVftpyflFlPPC7NT75kTfRH6Mlii1upThX1i30/edit?usp=sharing","China")</f>
        <v>China</v>
      </c>
      <c r="B50" s="1">
        <v>2.5</v>
      </c>
      <c r="C50" s="1">
        <v>2.3</v>
      </c>
      <c r="D50" s="1">
        <v>2.7</v>
      </c>
      <c r="E50" s="1">
        <v>1.1</v>
      </c>
      <c r="F50" s="1">
        <v>2.1</v>
      </c>
      <c r="G50" s="1">
        <v>1.3</v>
      </c>
      <c r="H50" s="1">
        <v>1.2</v>
      </c>
      <c r="I50" s="1">
        <v>2.1</v>
      </c>
      <c r="J50" s="1">
        <v>1.7</v>
      </c>
      <c r="K50" s="1">
        <v>1.2</v>
      </c>
      <c r="L50" s="1">
        <v>2.6</v>
      </c>
      <c r="M50" s="1">
        <v>1.4</v>
      </c>
      <c r="N50" s="1">
        <v>1.2</v>
      </c>
      <c r="O50" s="1">
        <v>1.3</v>
      </c>
      <c r="P50" s="8">
        <f t="shared" si="2"/>
        <v>1.764285714</v>
      </c>
      <c r="Q50" s="15" t="s">
        <v>21</v>
      </c>
      <c r="R50" s="14"/>
    </row>
    <row r="5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8"/>
    </row>
    <row r="5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8"/>
    </row>
    <row r="5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8"/>
    </row>
    <row r="54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8"/>
    </row>
    <row r="5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8"/>
    </row>
    <row r="56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8"/>
    </row>
    <row r="5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8"/>
    </row>
    <row r="58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8"/>
    </row>
    <row r="59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8"/>
    </row>
    <row r="6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8"/>
    </row>
    <row r="6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8"/>
    </row>
    <row r="6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8"/>
    </row>
    <row r="6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8"/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8"/>
    </row>
    <row r="6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8"/>
    </row>
    <row r="66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8"/>
    </row>
    <row r="6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8"/>
    </row>
    <row r="68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8"/>
    </row>
    <row r="69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8"/>
    </row>
    <row r="7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8"/>
    </row>
    <row r="7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8"/>
    </row>
    <row r="7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8"/>
    </row>
    <row r="7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8"/>
    </row>
    <row r="74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8"/>
    </row>
    <row r="7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8"/>
    </row>
    <row r="76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8"/>
    </row>
    <row r="7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8"/>
    </row>
    <row r="78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8"/>
    </row>
    <row r="79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8"/>
    </row>
    <row r="8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8"/>
    </row>
    <row r="8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8"/>
    </row>
    <row r="8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8"/>
    </row>
    <row r="8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8"/>
    </row>
    <row r="84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8"/>
    </row>
    <row r="8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8"/>
    </row>
    <row r="86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8"/>
    </row>
    <row r="8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8"/>
    </row>
    <row r="88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8"/>
    </row>
    <row r="8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8"/>
    </row>
    <row r="9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8"/>
    </row>
    <row r="9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8"/>
    </row>
    <row r="9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8"/>
    </row>
    <row r="9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8"/>
    </row>
    <row r="94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8"/>
    </row>
    <row r="9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8"/>
    </row>
    <row r="96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8"/>
    </row>
    <row r="9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8"/>
    </row>
    <row r="98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8"/>
    </row>
    <row r="99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8"/>
    </row>
    <row r="10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8"/>
    </row>
    <row r="10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8"/>
    </row>
    <row r="10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8"/>
    </row>
    <row r="10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8"/>
    </row>
    <row r="104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8"/>
    </row>
    <row r="10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8"/>
    </row>
    <row r="106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8"/>
    </row>
    <row r="107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8"/>
    </row>
    <row r="108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8"/>
    </row>
    <row r="109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8"/>
    </row>
    <row r="110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8"/>
    </row>
    <row r="11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8"/>
    </row>
    <row r="11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8"/>
    </row>
    <row r="11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8"/>
    </row>
    <row r="114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8"/>
    </row>
    <row r="11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8"/>
    </row>
    <row r="116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8"/>
    </row>
    <row r="11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8"/>
    </row>
    <row r="118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8"/>
    </row>
    <row r="119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8"/>
    </row>
    <row r="1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8"/>
    </row>
    <row r="12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8"/>
    </row>
    <row r="12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8"/>
    </row>
    <row r="12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8"/>
    </row>
    <row r="124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8"/>
    </row>
    <row r="1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8"/>
    </row>
    <row r="126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8"/>
    </row>
    <row r="1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8"/>
    </row>
    <row r="128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8"/>
    </row>
    <row r="129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8"/>
    </row>
    <row r="13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8"/>
    </row>
    <row r="13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8"/>
    </row>
    <row r="13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8"/>
    </row>
    <row r="13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8"/>
    </row>
    <row r="134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8"/>
    </row>
    <row r="13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8"/>
    </row>
    <row r="136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8"/>
    </row>
    <row r="13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8"/>
    </row>
    <row r="138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8"/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8"/>
    </row>
    <row r="140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8"/>
    </row>
    <row r="14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8"/>
    </row>
    <row r="142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8"/>
    </row>
    <row r="143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8"/>
    </row>
    <row r="144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8"/>
    </row>
    <row r="14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8"/>
    </row>
    <row r="146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8"/>
    </row>
    <row r="147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8"/>
    </row>
    <row r="148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8"/>
    </row>
    <row r="149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8"/>
    </row>
    <row r="150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8"/>
    </row>
    <row r="15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8"/>
    </row>
    <row r="152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8"/>
    </row>
    <row r="153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8"/>
    </row>
    <row r="154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8"/>
    </row>
    <row r="15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8"/>
    </row>
    <row r="156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8"/>
    </row>
    <row r="157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8"/>
    </row>
    <row r="158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8"/>
    </row>
    <row r="159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8"/>
    </row>
    <row r="160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8"/>
    </row>
    <row r="16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8"/>
    </row>
    <row r="162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8"/>
    </row>
    <row r="163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8"/>
    </row>
    <row r="164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8"/>
    </row>
    <row r="16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8"/>
    </row>
    <row r="166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8"/>
    </row>
    <row r="167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8"/>
    </row>
    <row r="168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8"/>
    </row>
    <row r="169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8"/>
    </row>
    <row r="170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8"/>
    </row>
    <row r="17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8"/>
    </row>
    <row r="172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8"/>
    </row>
    <row r="173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8"/>
    </row>
    <row r="174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8"/>
    </row>
    <row r="17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8"/>
    </row>
    <row r="176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8"/>
    </row>
    <row r="177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8"/>
    </row>
    <row r="178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8"/>
    </row>
    <row r="179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8"/>
    </row>
    <row r="180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8"/>
    </row>
    <row r="18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8"/>
    </row>
    <row r="182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8"/>
    </row>
    <row r="183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8"/>
    </row>
    <row r="184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8"/>
    </row>
    <row r="18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8"/>
    </row>
    <row r="186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8"/>
    </row>
    <row r="187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8"/>
    </row>
    <row r="188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8"/>
    </row>
    <row r="189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8"/>
    </row>
    <row r="190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8"/>
    </row>
    <row r="19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8"/>
    </row>
    <row r="192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8"/>
    </row>
    <row r="193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8"/>
    </row>
    <row r="194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8"/>
    </row>
    <row r="19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8"/>
    </row>
    <row r="196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8"/>
    </row>
    <row r="197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8"/>
    </row>
    <row r="198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8"/>
    </row>
    <row r="199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8"/>
    </row>
    <row r="200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8"/>
    </row>
    <row r="20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8"/>
    </row>
    <row r="202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8"/>
    </row>
    <row r="203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8"/>
    </row>
    <row r="204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8"/>
    </row>
    <row r="20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8"/>
    </row>
    <row r="206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8"/>
    </row>
    <row r="207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8"/>
    </row>
    <row r="208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8"/>
    </row>
    <row r="209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8"/>
    </row>
    <row r="210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8"/>
    </row>
    <row r="21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8"/>
    </row>
    <row r="212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8"/>
    </row>
    <row r="213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8"/>
    </row>
    <row r="214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8"/>
    </row>
    <row r="21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8"/>
    </row>
    <row r="216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8"/>
    </row>
    <row r="217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8"/>
    </row>
    <row r="218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8"/>
    </row>
    <row r="219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8"/>
    </row>
    <row r="220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8"/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8"/>
    </row>
    <row r="222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8"/>
    </row>
    <row r="223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8"/>
    </row>
    <row r="224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8"/>
    </row>
    <row r="2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8"/>
    </row>
    <row r="226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8"/>
    </row>
    <row r="227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8"/>
    </row>
    <row r="228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8"/>
    </row>
    <row r="229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8"/>
    </row>
    <row r="230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8"/>
    </row>
    <row r="23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8"/>
    </row>
    <row r="232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8"/>
    </row>
    <row r="233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8"/>
    </row>
    <row r="234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8"/>
    </row>
    <row r="23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8"/>
    </row>
    <row r="236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8"/>
    </row>
    <row r="237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8"/>
    </row>
    <row r="238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8"/>
    </row>
    <row r="239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8"/>
    </row>
    <row r="240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8"/>
    </row>
    <row r="24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8"/>
    </row>
    <row r="242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8"/>
    </row>
    <row r="243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8"/>
    </row>
    <row r="244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8"/>
    </row>
    <row r="24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8"/>
    </row>
    <row r="246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8"/>
    </row>
    <row r="247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8"/>
    </row>
    <row r="248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8"/>
    </row>
    <row r="249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8"/>
    </row>
    <row r="250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8"/>
    </row>
    <row r="25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8"/>
    </row>
    <row r="252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8"/>
    </row>
    <row r="253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8"/>
    </row>
    <row r="254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8"/>
    </row>
    <row r="25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8"/>
    </row>
    <row r="256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8"/>
    </row>
    <row r="257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8"/>
    </row>
    <row r="258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8"/>
    </row>
    <row r="259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8"/>
    </row>
    <row r="260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8"/>
    </row>
    <row r="26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8"/>
    </row>
    <row r="262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8"/>
    </row>
    <row r="263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8"/>
    </row>
    <row r="264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8"/>
    </row>
    <row r="26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8"/>
    </row>
    <row r="266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8"/>
    </row>
    <row r="267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8"/>
    </row>
    <row r="268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8"/>
    </row>
    <row r="269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8"/>
    </row>
    <row r="270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8"/>
    </row>
    <row r="27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8"/>
    </row>
    <row r="272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8"/>
    </row>
    <row r="273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8"/>
    </row>
    <row r="274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8"/>
    </row>
    <row r="27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8"/>
    </row>
    <row r="276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8"/>
    </row>
    <row r="277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8"/>
    </row>
    <row r="278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8"/>
    </row>
    <row r="279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8"/>
    </row>
    <row r="280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8"/>
    </row>
    <row r="28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8"/>
    </row>
    <row r="282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8"/>
    </row>
    <row r="283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8"/>
    </row>
    <row r="284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8"/>
    </row>
    <row r="28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8"/>
    </row>
    <row r="286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8"/>
    </row>
    <row r="287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8"/>
    </row>
    <row r="288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8"/>
    </row>
    <row r="289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8"/>
    </row>
    <row r="290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8"/>
    </row>
    <row r="29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8"/>
    </row>
    <row r="292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8"/>
    </row>
    <row r="293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8"/>
    </row>
    <row r="294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8"/>
    </row>
    <row r="29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8"/>
    </row>
    <row r="296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8"/>
    </row>
    <row r="297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8"/>
    </row>
    <row r="298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8"/>
    </row>
    <row r="299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8"/>
    </row>
    <row r="300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8"/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8"/>
    </row>
    <row r="302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8"/>
    </row>
    <row r="303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8"/>
    </row>
    <row r="304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8"/>
    </row>
    <row r="30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8"/>
    </row>
    <row r="306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8"/>
    </row>
    <row r="307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8"/>
    </row>
    <row r="308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8"/>
    </row>
    <row r="309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8"/>
    </row>
    <row r="310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8"/>
    </row>
    <row r="31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8"/>
    </row>
    <row r="312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8"/>
    </row>
    <row r="313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8"/>
    </row>
    <row r="314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8"/>
    </row>
    <row r="31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8"/>
    </row>
    <row r="316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8"/>
    </row>
    <row r="317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8"/>
    </row>
    <row r="318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8"/>
    </row>
    <row r="319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8"/>
    </row>
    <row r="320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8"/>
    </row>
    <row r="32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8"/>
    </row>
    <row r="322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8"/>
    </row>
    <row r="323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8"/>
    </row>
    <row r="324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8"/>
    </row>
    <row r="3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8"/>
    </row>
    <row r="326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8"/>
    </row>
    <row r="327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8"/>
    </row>
    <row r="328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8"/>
    </row>
    <row r="329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8"/>
    </row>
    <row r="330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8"/>
    </row>
    <row r="33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8"/>
    </row>
    <row r="332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8"/>
    </row>
    <row r="333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8"/>
    </row>
    <row r="334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8"/>
    </row>
    <row r="33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8"/>
    </row>
    <row r="336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8"/>
    </row>
    <row r="337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8"/>
    </row>
    <row r="338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8"/>
    </row>
    <row r="339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8"/>
    </row>
    <row r="340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8"/>
    </row>
    <row r="34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8"/>
    </row>
    <row r="342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8"/>
    </row>
    <row r="343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8"/>
    </row>
    <row r="344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8"/>
    </row>
    <row r="34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8"/>
    </row>
    <row r="346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8"/>
    </row>
    <row r="347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8"/>
    </row>
    <row r="348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8"/>
    </row>
    <row r="349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8"/>
    </row>
    <row r="350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8"/>
    </row>
    <row r="35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8"/>
    </row>
    <row r="352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8"/>
    </row>
    <row r="353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8"/>
    </row>
    <row r="354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8"/>
    </row>
    <row r="35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8"/>
    </row>
    <row r="356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8"/>
    </row>
    <row r="357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8"/>
    </row>
    <row r="358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8"/>
    </row>
    <row r="359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8"/>
    </row>
    <row r="360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8"/>
    </row>
    <row r="36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8"/>
    </row>
    <row r="362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8"/>
    </row>
    <row r="363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8"/>
    </row>
    <row r="364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8"/>
    </row>
    <row r="36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8"/>
    </row>
    <row r="366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8"/>
    </row>
    <row r="367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8"/>
    </row>
    <row r="368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8"/>
    </row>
    <row r="369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8"/>
    </row>
    <row r="370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8"/>
    </row>
    <row r="37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8"/>
    </row>
    <row r="372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8"/>
    </row>
    <row r="373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8"/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8"/>
    </row>
    <row r="37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8"/>
    </row>
    <row r="376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8"/>
    </row>
    <row r="377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8"/>
    </row>
    <row r="378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8"/>
    </row>
    <row r="379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8"/>
    </row>
    <row r="380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8"/>
    </row>
    <row r="38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8"/>
    </row>
    <row r="382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8"/>
    </row>
    <row r="383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8"/>
    </row>
    <row r="384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8"/>
    </row>
    <row r="38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8"/>
    </row>
    <row r="386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8"/>
    </row>
    <row r="387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8"/>
    </row>
    <row r="388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8"/>
    </row>
    <row r="389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8"/>
    </row>
    <row r="390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8"/>
    </row>
    <row r="39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8"/>
    </row>
    <row r="392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8"/>
    </row>
    <row r="393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8"/>
    </row>
    <row r="394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8"/>
    </row>
    <row r="39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8"/>
    </row>
    <row r="396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8"/>
    </row>
    <row r="397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8"/>
    </row>
    <row r="398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8"/>
    </row>
    <row r="399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8"/>
    </row>
    <row r="400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8"/>
    </row>
    <row r="40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8"/>
    </row>
    <row r="402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8"/>
    </row>
    <row r="403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8"/>
    </row>
    <row r="404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8"/>
    </row>
    <row r="40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8"/>
    </row>
    <row r="406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8"/>
    </row>
    <row r="407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8"/>
    </row>
    <row r="408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8"/>
    </row>
    <row r="409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8"/>
    </row>
    <row r="410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8"/>
    </row>
    <row r="41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8"/>
    </row>
    <row r="412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8"/>
    </row>
    <row r="413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8"/>
    </row>
    <row r="414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8"/>
    </row>
    <row r="41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8"/>
    </row>
    <row r="416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8"/>
    </row>
    <row r="417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8"/>
    </row>
    <row r="418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8"/>
    </row>
    <row r="419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8"/>
    </row>
    <row r="420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8"/>
    </row>
    <row r="42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8"/>
    </row>
    <row r="422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8"/>
    </row>
    <row r="423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8"/>
    </row>
    <row r="424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8"/>
    </row>
    <row r="4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8"/>
    </row>
    <row r="426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8"/>
    </row>
    <row r="427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8"/>
    </row>
    <row r="428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8"/>
    </row>
    <row r="429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8"/>
    </row>
    <row r="430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8"/>
    </row>
    <row r="43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8"/>
    </row>
    <row r="432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8"/>
    </row>
    <row r="433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8"/>
    </row>
    <row r="434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8"/>
    </row>
    <row r="43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8"/>
    </row>
    <row r="436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8"/>
    </row>
    <row r="437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8"/>
    </row>
    <row r="438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8"/>
    </row>
    <row r="439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8"/>
    </row>
    <row r="440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8"/>
    </row>
    <row r="44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8"/>
    </row>
    <row r="442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8"/>
    </row>
    <row r="443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8"/>
    </row>
    <row r="444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8"/>
    </row>
    <row r="44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8"/>
    </row>
    <row r="446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8"/>
    </row>
    <row r="447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8"/>
    </row>
    <row r="448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8"/>
    </row>
    <row r="449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8"/>
    </row>
    <row r="450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8"/>
    </row>
    <row r="45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8"/>
    </row>
    <row r="452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8"/>
    </row>
    <row r="453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8"/>
    </row>
    <row r="454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8"/>
    </row>
    <row r="45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8"/>
    </row>
    <row r="456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8"/>
    </row>
    <row r="457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8"/>
    </row>
    <row r="458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8"/>
    </row>
    <row r="459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8"/>
    </row>
    <row r="460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8"/>
    </row>
    <row r="46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8"/>
    </row>
    <row r="462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8"/>
    </row>
    <row r="463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8"/>
    </row>
    <row r="464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8"/>
    </row>
    <row r="46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8"/>
    </row>
    <row r="466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8"/>
    </row>
    <row r="467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8"/>
    </row>
    <row r="468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8"/>
    </row>
    <row r="469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8"/>
    </row>
    <row r="470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8"/>
    </row>
    <row r="47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8"/>
    </row>
    <row r="472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8"/>
    </row>
    <row r="473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8"/>
    </row>
    <row r="474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8"/>
    </row>
    <row r="47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8"/>
    </row>
    <row r="476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8"/>
    </row>
    <row r="477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8"/>
    </row>
    <row r="478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8"/>
    </row>
    <row r="479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8"/>
    </row>
    <row r="480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8"/>
    </row>
    <row r="48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8"/>
    </row>
    <row r="482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8"/>
    </row>
    <row r="483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8"/>
    </row>
    <row r="484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8"/>
    </row>
    <row r="48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8"/>
    </row>
    <row r="486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8"/>
    </row>
    <row r="487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8"/>
    </row>
    <row r="488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8"/>
    </row>
    <row r="489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8"/>
    </row>
    <row r="490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8"/>
    </row>
    <row r="49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8"/>
    </row>
    <row r="492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8"/>
    </row>
    <row r="493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8"/>
    </row>
    <row r="494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8"/>
    </row>
    <row r="49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8"/>
    </row>
    <row r="496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8"/>
    </row>
    <row r="497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8"/>
    </row>
    <row r="498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8"/>
    </row>
    <row r="499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8"/>
    </row>
    <row r="500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8"/>
    </row>
    <row r="50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8"/>
    </row>
    <row r="502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8"/>
    </row>
    <row r="503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8"/>
    </row>
    <row r="504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8"/>
    </row>
    <row r="50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8"/>
    </row>
    <row r="506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8"/>
    </row>
    <row r="50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8"/>
    </row>
    <row r="508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8"/>
    </row>
    <row r="509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8"/>
    </row>
    <row r="510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8"/>
    </row>
    <row r="51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8"/>
    </row>
    <row r="512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8"/>
    </row>
    <row r="513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8"/>
    </row>
    <row r="514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8"/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8"/>
    </row>
    <row r="516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8"/>
    </row>
    <row r="517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8"/>
    </row>
    <row r="518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8"/>
    </row>
    <row r="519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8"/>
    </row>
    <row r="520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8"/>
    </row>
    <row r="52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8"/>
    </row>
    <row r="522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8"/>
    </row>
    <row r="523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8"/>
    </row>
    <row r="524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8"/>
    </row>
    <row r="5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8"/>
    </row>
    <row r="526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8"/>
    </row>
    <row r="527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8"/>
    </row>
    <row r="528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8"/>
    </row>
    <row r="529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8"/>
    </row>
    <row r="530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8"/>
    </row>
    <row r="53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8"/>
    </row>
    <row r="532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8"/>
    </row>
    <row r="533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8"/>
    </row>
    <row r="534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8"/>
    </row>
    <row r="53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8"/>
    </row>
    <row r="536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8"/>
    </row>
    <row r="537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8"/>
    </row>
    <row r="538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8"/>
    </row>
    <row r="539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8"/>
    </row>
    <row r="540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8"/>
    </row>
    <row r="54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8"/>
    </row>
    <row r="542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8"/>
    </row>
    <row r="543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8"/>
    </row>
    <row r="544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8"/>
    </row>
    <row r="54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8"/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8"/>
    </row>
    <row r="547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8"/>
    </row>
    <row r="548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8"/>
    </row>
    <row r="549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8"/>
    </row>
    <row r="550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8"/>
    </row>
    <row r="55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8"/>
    </row>
    <row r="552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8"/>
    </row>
    <row r="553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8"/>
    </row>
    <row r="554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8"/>
    </row>
    <row r="55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8"/>
    </row>
    <row r="556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8"/>
    </row>
    <row r="557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8"/>
    </row>
    <row r="558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8"/>
    </row>
    <row r="559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8"/>
    </row>
    <row r="560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8"/>
    </row>
    <row r="56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8"/>
    </row>
    <row r="562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8"/>
    </row>
    <row r="563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8"/>
    </row>
    <row r="564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8"/>
    </row>
    <row r="56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8"/>
    </row>
    <row r="566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8"/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8"/>
    </row>
    <row r="568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8"/>
    </row>
    <row r="569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8"/>
    </row>
    <row r="570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8"/>
    </row>
    <row r="57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8"/>
    </row>
    <row r="572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8"/>
    </row>
    <row r="573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8"/>
    </row>
    <row r="574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8"/>
    </row>
    <row r="57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8"/>
    </row>
    <row r="576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8"/>
    </row>
    <row r="577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8"/>
    </row>
    <row r="578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8"/>
    </row>
    <row r="579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8"/>
    </row>
    <row r="580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8"/>
    </row>
    <row r="58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8"/>
    </row>
    <row r="582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8"/>
    </row>
    <row r="583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8"/>
    </row>
    <row r="584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8"/>
    </row>
    <row r="58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8"/>
    </row>
    <row r="586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8"/>
    </row>
    <row r="587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8"/>
    </row>
    <row r="588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8"/>
    </row>
    <row r="589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8"/>
    </row>
    <row r="590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8"/>
    </row>
    <row r="59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8"/>
    </row>
    <row r="592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8"/>
    </row>
    <row r="593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8"/>
    </row>
    <row r="594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8"/>
    </row>
    <row r="59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8"/>
    </row>
    <row r="596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8"/>
    </row>
    <row r="597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8"/>
    </row>
    <row r="598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8"/>
    </row>
    <row r="599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8"/>
    </row>
    <row r="600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8"/>
    </row>
    <row r="60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8"/>
    </row>
    <row r="602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8"/>
    </row>
    <row r="603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8"/>
    </row>
    <row r="604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8"/>
    </row>
    <row r="60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8"/>
    </row>
    <row r="606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8"/>
    </row>
    <row r="607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8"/>
    </row>
    <row r="608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8"/>
    </row>
    <row r="609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8"/>
    </row>
    <row r="610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8"/>
    </row>
    <row r="61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8"/>
    </row>
    <row r="612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8"/>
    </row>
    <row r="613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8"/>
    </row>
    <row r="614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8"/>
    </row>
    <row r="61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8"/>
    </row>
    <row r="616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8"/>
    </row>
    <row r="617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8"/>
    </row>
    <row r="618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8"/>
    </row>
    <row r="619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8"/>
    </row>
    <row r="620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8"/>
    </row>
    <row r="62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8"/>
    </row>
    <row r="622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8"/>
    </row>
    <row r="623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8"/>
    </row>
    <row r="624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8"/>
    </row>
    <row r="6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8"/>
    </row>
    <row r="626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8"/>
    </row>
    <row r="627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8"/>
    </row>
    <row r="628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8"/>
    </row>
    <row r="629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8"/>
    </row>
    <row r="630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8"/>
    </row>
    <row r="63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8"/>
    </row>
    <row r="632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8"/>
    </row>
    <row r="633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8"/>
    </row>
    <row r="634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8"/>
    </row>
    <row r="63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8"/>
    </row>
    <row r="636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8"/>
    </row>
    <row r="637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8"/>
    </row>
    <row r="638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8"/>
    </row>
    <row r="639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8"/>
    </row>
    <row r="640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8"/>
    </row>
    <row r="64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8"/>
    </row>
    <row r="642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8"/>
    </row>
    <row r="643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8"/>
    </row>
    <row r="644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8"/>
    </row>
    <row r="64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8"/>
    </row>
    <row r="646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8"/>
    </row>
    <row r="647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8"/>
    </row>
    <row r="648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8"/>
    </row>
    <row r="649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8"/>
    </row>
    <row r="650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8"/>
    </row>
    <row r="65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8"/>
    </row>
    <row r="652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8"/>
    </row>
    <row r="653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8"/>
    </row>
    <row r="654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8"/>
    </row>
    <row r="65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8"/>
    </row>
    <row r="656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8"/>
    </row>
    <row r="657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8"/>
    </row>
    <row r="658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8"/>
    </row>
    <row r="659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8"/>
    </row>
    <row r="660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8"/>
    </row>
    <row r="66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8"/>
    </row>
    <row r="662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8"/>
    </row>
    <row r="663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8"/>
    </row>
    <row r="664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8"/>
    </row>
    <row r="66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8"/>
    </row>
    <row r="666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8"/>
    </row>
    <row r="667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8"/>
    </row>
    <row r="668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8"/>
    </row>
    <row r="669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8"/>
    </row>
    <row r="670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8"/>
    </row>
    <row r="67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8"/>
    </row>
    <row r="672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8"/>
    </row>
    <row r="673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8"/>
    </row>
    <row r="674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8"/>
    </row>
    <row r="67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8"/>
    </row>
    <row r="676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8"/>
    </row>
    <row r="677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8"/>
    </row>
    <row r="678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8"/>
    </row>
    <row r="679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8"/>
    </row>
    <row r="680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8"/>
    </row>
    <row r="68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8"/>
    </row>
    <row r="682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8"/>
    </row>
    <row r="683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8"/>
    </row>
    <row r="684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8"/>
    </row>
    <row r="68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8"/>
    </row>
    <row r="686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8"/>
    </row>
    <row r="687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8"/>
    </row>
    <row r="688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8"/>
    </row>
    <row r="689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8"/>
    </row>
    <row r="690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8"/>
    </row>
    <row r="69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8"/>
    </row>
    <row r="692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8"/>
    </row>
    <row r="693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8"/>
    </row>
    <row r="694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8"/>
    </row>
    <row r="69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8"/>
    </row>
    <row r="696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8"/>
    </row>
    <row r="697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8"/>
    </row>
    <row r="698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8"/>
    </row>
    <row r="699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8"/>
    </row>
    <row r="700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8"/>
    </row>
    <row r="70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8"/>
    </row>
    <row r="702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8"/>
    </row>
    <row r="703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8"/>
    </row>
    <row r="704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8"/>
    </row>
    <row r="70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8"/>
    </row>
    <row r="706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8"/>
    </row>
    <row r="707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8"/>
    </row>
    <row r="708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8"/>
    </row>
    <row r="709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8"/>
    </row>
    <row r="710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8"/>
    </row>
    <row r="71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8"/>
    </row>
    <row r="712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8"/>
    </row>
    <row r="713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8"/>
    </row>
    <row r="714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8"/>
    </row>
    <row r="71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8"/>
    </row>
    <row r="716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8"/>
    </row>
    <row r="717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8"/>
    </row>
    <row r="718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8"/>
    </row>
    <row r="719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8"/>
    </row>
    <row r="720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8"/>
    </row>
    <row r="72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8"/>
    </row>
    <row r="722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8"/>
    </row>
    <row r="723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8"/>
    </row>
    <row r="724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8"/>
    </row>
    <row r="7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8"/>
    </row>
    <row r="726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8"/>
    </row>
    <row r="727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8"/>
    </row>
    <row r="728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8"/>
    </row>
    <row r="729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8"/>
    </row>
    <row r="730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8"/>
    </row>
    <row r="73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8"/>
    </row>
    <row r="732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8"/>
    </row>
    <row r="733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8"/>
    </row>
    <row r="734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8"/>
    </row>
    <row r="73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8"/>
    </row>
    <row r="736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8"/>
    </row>
    <row r="737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8"/>
    </row>
    <row r="738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8"/>
    </row>
    <row r="739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8"/>
    </row>
    <row r="740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8"/>
    </row>
    <row r="74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8"/>
    </row>
    <row r="742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8"/>
    </row>
    <row r="743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8"/>
    </row>
    <row r="744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8"/>
    </row>
    <row r="74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8"/>
    </row>
    <row r="746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8"/>
    </row>
    <row r="747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8"/>
    </row>
    <row r="748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8"/>
    </row>
    <row r="749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8"/>
    </row>
    <row r="750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8"/>
    </row>
    <row r="75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8"/>
    </row>
    <row r="752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8"/>
    </row>
    <row r="753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8"/>
    </row>
    <row r="754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8"/>
    </row>
    <row r="75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8"/>
    </row>
    <row r="756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8"/>
    </row>
    <row r="757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8"/>
    </row>
    <row r="758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8"/>
    </row>
    <row r="759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8"/>
    </row>
    <row r="760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8"/>
    </row>
    <row r="76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8"/>
    </row>
    <row r="762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8"/>
    </row>
    <row r="763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8"/>
    </row>
    <row r="764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8"/>
    </row>
    <row r="76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8"/>
    </row>
    <row r="766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8"/>
    </row>
    <row r="767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8"/>
    </row>
    <row r="768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8"/>
    </row>
    <row r="769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8"/>
    </row>
    <row r="770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8"/>
    </row>
    <row r="77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8"/>
    </row>
    <row r="772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8"/>
    </row>
    <row r="773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8"/>
    </row>
    <row r="774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8"/>
    </row>
    <row r="77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8"/>
    </row>
    <row r="776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8"/>
    </row>
    <row r="777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8"/>
    </row>
    <row r="778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8"/>
    </row>
    <row r="779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8"/>
    </row>
    <row r="780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8"/>
    </row>
    <row r="78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8"/>
    </row>
    <row r="782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8"/>
    </row>
    <row r="783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8"/>
    </row>
    <row r="784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8"/>
    </row>
    <row r="78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8"/>
    </row>
    <row r="786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8"/>
    </row>
    <row r="787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8"/>
    </row>
    <row r="788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8"/>
    </row>
    <row r="789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8"/>
    </row>
    <row r="790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8"/>
    </row>
    <row r="79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8"/>
    </row>
    <row r="792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8"/>
    </row>
    <row r="793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8"/>
    </row>
    <row r="794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8"/>
    </row>
    <row r="79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8"/>
    </row>
    <row r="796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8"/>
    </row>
    <row r="797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8"/>
    </row>
    <row r="798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8"/>
    </row>
    <row r="799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8"/>
    </row>
    <row r="800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8"/>
    </row>
    <row r="80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8"/>
    </row>
    <row r="802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8"/>
    </row>
    <row r="803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8"/>
    </row>
    <row r="804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8"/>
    </row>
    <row r="80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8"/>
    </row>
    <row r="806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8"/>
    </row>
    <row r="807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8"/>
    </row>
    <row r="808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8"/>
    </row>
    <row r="809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8"/>
    </row>
    <row r="810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8"/>
    </row>
    <row r="81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8"/>
    </row>
    <row r="812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8"/>
    </row>
    <row r="813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8"/>
    </row>
    <row r="814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8"/>
    </row>
    <row r="81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8"/>
    </row>
    <row r="816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8"/>
    </row>
    <row r="817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8"/>
    </row>
    <row r="818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8"/>
    </row>
    <row r="819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8"/>
    </row>
    <row r="820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8"/>
    </row>
    <row r="82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8"/>
    </row>
    <row r="822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8"/>
    </row>
    <row r="823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8"/>
    </row>
    <row r="824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8"/>
    </row>
    <row r="8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8"/>
    </row>
    <row r="826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8"/>
    </row>
    <row r="827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8"/>
    </row>
    <row r="828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8"/>
    </row>
    <row r="829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8"/>
    </row>
    <row r="830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8"/>
    </row>
    <row r="83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8"/>
    </row>
    <row r="832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8"/>
    </row>
    <row r="833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8"/>
    </row>
    <row r="834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8"/>
    </row>
    <row r="83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8"/>
    </row>
    <row r="836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8"/>
    </row>
    <row r="837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8"/>
    </row>
    <row r="838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8"/>
    </row>
    <row r="839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8"/>
    </row>
    <row r="840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8"/>
    </row>
    <row r="84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8"/>
    </row>
    <row r="842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8"/>
    </row>
    <row r="843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8"/>
    </row>
    <row r="844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8"/>
    </row>
    <row r="84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8"/>
    </row>
    <row r="846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8"/>
    </row>
    <row r="847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8"/>
    </row>
    <row r="848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8"/>
    </row>
    <row r="849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8"/>
    </row>
    <row r="850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8"/>
    </row>
    <row r="85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8"/>
    </row>
    <row r="852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8"/>
    </row>
    <row r="853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8"/>
    </row>
    <row r="854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8"/>
    </row>
    <row r="85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8"/>
    </row>
    <row r="856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8"/>
    </row>
    <row r="857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8"/>
    </row>
    <row r="858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8"/>
    </row>
    <row r="859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8"/>
    </row>
    <row r="860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8"/>
    </row>
    <row r="86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8"/>
    </row>
    <row r="862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8"/>
    </row>
    <row r="863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8"/>
    </row>
    <row r="864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8"/>
    </row>
    <row r="86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8"/>
    </row>
    <row r="866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8"/>
    </row>
    <row r="867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8"/>
    </row>
    <row r="868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8"/>
    </row>
    <row r="869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8"/>
    </row>
    <row r="870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8"/>
    </row>
    <row r="87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8"/>
    </row>
    <row r="872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8"/>
    </row>
    <row r="873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8"/>
    </row>
    <row r="874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8"/>
    </row>
    <row r="87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8"/>
    </row>
    <row r="876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8"/>
    </row>
    <row r="877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8"/>
    </row>
    <row r="878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8"/>
    </row>
    <row r="879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8"/>
    </row>
    <row r="880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8"/>
    </row>
    <row r="88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8"/>
    </row>
    <row r="882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8"/>
    </row>
    <row r="883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8"/>
    </row>
    <row r="884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8"/>
    </row>
    <row r="88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8"/>
    </row>
    <row r="886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8"/>
    </row>
    <row r="887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8"/>
    </row>
    <row r="888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8"/>
    </row>
    <row r="889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8"/>
    </row>
    <row r="890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8"/>
    </row>
    <row r="89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8"/>
    </row>
    <row r="892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8"/>
    </row>
    <row r="893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8"/>
    </row>
    <row r="894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8"/>
    </row>
    <row r="89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8"/>
    </row>
    <row r="896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8"/>
    </row>
    <row r="897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8"/>
    </row>
    <row r="898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8"/>
    </row>
    <row r="899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8"/>
    </row>
    <row r="900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8"/>
    </row>
    <row r="90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8"/>
    </row>
    <row r="902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8"/>
    </row>
    <row r="903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8"/>
    </row>
    <row r="904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8"/>
    </row>
    <row r="90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8"/>
    </row>
    <row r="906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8"/>
    </row>
    <row r="907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8"/>
    </row>
    <row r="908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8"/>
    </row>
    <row r="909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8"/>
    </row>
    <row r="910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8"/>
    </row>
    <row r="91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8"/>
    </row>
    <row r="912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8"/>
    </row>
    <row r="913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8"/>
    </row>
    <row r="914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8"/>
    </row>
    <row r="91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8"/>
    </row>
    <row r="916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8"/>
    </row>
    <row r="917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8"/>
    </row>
    <row r="918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8"/>
    </row>
    <row r="919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8"/>
    </row>
    <row r="920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8"/>
    </row>
    <row r="92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8"/>
    </row>
    <row r="922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8"/>
    </row>
    <row r="923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8"/>
    </row>
    <row r="924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8"/>
    </row>
    <row r="9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8"/>
    </row>
    <row r="926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8"/>
    </row>
    <row r="927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8"/>
    </row>
    <row r="928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8"/>
    </row>
    <row r="929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8"/>
    </row>
    <row r="930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8"/>
    </row>
    <row r="93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8"/>
    </row>
    <row r="932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8"/>
    </row>
    <row r="933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8"/>
    </row>
    <row r="934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8"/>
    </row>
    <row r="93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8"/>
    </row>
    <row r="936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8"/>
    </row>
    <row r="937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8"/>
    </row>
    <row r="938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8"/>
    </row>
    <row r="939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8"/>
    </row>
    <row r="940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8"/>
    </row>
    <row r="94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8"/>
    </row>
    <row r="942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8"/>
    </row>
    <row r="943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8"/>
    </row>
    <row r="944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8"/>
    </row>
    <row r="94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8"/>
    </row>
    <row r="946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8"/>
    </row>
    <row r="947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8"/>
    </row>
    <row r="948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8"/>
    </row>
    <row r="949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8"/>
    </row>
    <row r="950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8"/>
    </row>
    <row r="95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8"/>
    </row>
    <row r="952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8"/>
    </row>
    <row r="953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8"/>
    </row>
    <row r="954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8"/>
    </row>
    <row r="95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8"/>
    </row>
    <row r="956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8"/>
    </row>
    <row r="957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8"/>
    </row>
    <row r="958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8"/>
    </row>
    <row r="959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8"/>
    </row>
    <row r="960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8"/>
    </row>
    <row r="96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8"/>
    </row>
    <row r="962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8"/>
    </row>
    <row r="963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8"/>
    </row>
    <row r="964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8"/>
    </row>
    <row r="96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8"/>
    </row>
    <row r="966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8"/>
    </row>
    <row r="967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8"/>
    </row>
    <row r="968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8"/>
    </row>
    <row r="969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8"/>
    </row>
    <row r="970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8"/>
    </row>
    <row r="97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8"/>
    </row>
    <row r="972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8"/>
    </row>
    <row r="973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8"/>
    </row>
    <row r="974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8"/>
    </row>
    <row r="97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8"/>
    </row>
    <row r="976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8"/>
    </row>
    <row r="977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8"/>
    </row>
    <row r="978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8"/>
    </row>
    <row r="979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8"/>
    </row>
    <row r="980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8"/>
    </row>
    <row r="98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8"/>
    </row>
    <row r="982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8"/>
    </row>
    <row r="983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8"/>
    </row>
    <row r="984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8"/>
    </row>
    <row r="98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8"/>
    </row>
    <row r="986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8"/>
    </row>
    <row r="987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8"/>
    </row>
    <row r="988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8"/>
    </row>
    <row r="989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8"/>
    </row>
    <row r="990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8"/>
    </row>
    <row r="99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8"/>
    </row>
    <row r="992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8"/>
    </row>
    <row r="993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8"/>
    </row>
    <row r="994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8"/>
    </row>
    <row r="99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8"/>
    </row>
    <row r="996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8"/>
    </row>
    <row r="997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8"/>
    </row>
  </sheetData>
  <drawing r:id="rId1"/>
</worksheet>
</file>